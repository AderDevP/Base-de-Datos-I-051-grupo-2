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DADES" sheetId="1" r:id="rId4"/>
    <sheet state="visible" name="RELACIONES" sheetId="2" r:id="rId5"/>
    <sheet state="visible" name="DIAGRAMA ER" sheetId="3" r:id="rId6"/>
    <sheet state="visible" name="ATRIBUTOS - 1FN" sheetId="4" r:id="rId7"/>
    <sheet state="visible" name="2FN" sheetId="5" r:id="rId8"/>
    <sheet state="visible" name="3FN" sheetId="6" r:id="rId9"/>
    <sheet state="visible" name="DICCIONARIO DATOS" sheetId="7" r:id="rId10"/>
  </sheets>
  <definedNames/>
  <calcPr/>
  <extLst>
    <ext uri="GoogleSheetsCustomDataVersion2">
      <go:sheetsCustomData xmlns:go="http://customooxmlschemas.google.com/" r:id="rId11" roundtripDataChecksum="EuTzaEyDpOY2PRaiRsHGpUcL3Yg7eVxbz2+ZeSSUkC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9">
      <text>
        <t xml:space="preserve">======
ID#AAAB1I3VdwM
JAIME ERNESTO SOTO URDANETA    (2026-02-25 20:58:44)
Asignar el número de tabla</t>
      </text>
    </comment>
  </commentList>
  <extLst>
    <ext uri="GoogleSheetsCustomDataVersion2">
      <go:sheetsCustomData xmlns:go="http://customooxmlschemas.google.com/" r:id="rId1" roundtripDataSignature="AMtx7mhZ9wrZF3sPHyiw2eEl8gCYisqIR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1">
      <text>
        <t xml:space="preserve">======
ID#AAABvi6T1Mc
JAIME ERNESTO SOTO URDANETA    (2026-02-26 15:22:35)
Aquí debe vincular el # (número) de la tabla en listado</t>
      </text>
    </comment>
  </commentList>
  <extLst>
    <ext uri="GoogleSheetsCustomDataVersion2">
      <go:sheetsCustomData xmlns:go="http://customooxmlschemas.google.com/" r:id="rId1" roundtripDataSignature="AMtx7mheMzIWPG7OnMh5+zSqOwRZeYr0Pw=="/>
    </ext>
  </extLst>
</comments>
</file>

<file path=xl/sharedStrings.xml><?xml version="1.0" encoding="utf-8"?>
<sst xmlns="http://schemas.openxmlformats.org/spreadsheetml/2006/main" count="1100" uniqueCount="413">
  <si>
    <t>INVENTARIO ENTIDADES</t>
  </si>
  <si>
    <t>#</t>
  </si>
  <si>
    <t>Nombre Entidad</t>
  </si>
  <si>
    <t>Descripción Entidad</t>
  </si>
  <si>
    <t>Observaciones</t>
  </si>
  <si>
    <t>Tipo</t>
  </si>
  <si>
    <t>usuario</t>
  </si>
  <si>
    <t>Almacena la información básica de acceso y contacto de todas las personas en la red.</t>
  </si>
  <si>
    <t>Es la entidad raíz del sistema. Sin usuarios no hay interacciones.</t>
  </si>
  <si>
    <t>Fuerte</t>
  </si>
  <si>
    <t>rol</t>
  </si>
  <si>
    <t>Define los perfiles de acceso (Productor, Consumidor, Administrador, Ente).</t>
  </si>
  <si>
    <t>Es una tabla de configuración paramétrica que existe independientemente.</t>
  </si>
  <si>
    <t>apiario</t>
  </si>
  <si>
    <t>Representa el lugar físico o terreno donde se encuentran las colmenas.</t>
  </si>
  <si>
    <t>Se identifica por su ubicación y nombre, siendo el contenedor principal de la producción.</t>
  </si>
  <si>
    <t>colmena</t>
  </si>
  <si>
    <t>Unidad mínima de producción de abejas dentro de un apiario.</t>
  </si>
  <si>
    <t>Depende del Apiario. En el mundo real, una colmena siempre "pertenece" a un sitio.</t>
  </si>
  <si>
    <t>Debil</t>
  </si>
  <si>
    <t>cosecha</t>
  </si>
  <si>
    <t>Registro del producto extraído en un momento específico.</t>
  </si>
  <si>
    <t>Depende de la Colmena. No puedes registrar una cosecha de la "nada".</t>
  </si>
  <si>
    <t>lote</t>
  </si>
  <si>
    <t>Agrupación de producto cosechado para su comercialización y trazabilidad.</t>
  </si>
  <si>
    <t>Depende de la Cosecha. Es la transformación física de la extracción anterior.</t>
  </si>
  <si>
    <t>sensor</t>
  </si>
  <si>
    <t>Dispositivo IoT físico instalado para monitoreo.</t>
  </si>
  <si>
    <t>Su ubicación y función están ligadas estrictamente a una Colmena.</t>
  </si>
  <si>
    <t>alerta</t>
  </si>
  <si>
    <t>Notificaciones automáticas disparadas por parámetros críticos.</t>
  </si>
  <si>
    <t>Depende de la Colmena. Es un evento de estado de una unidad específica.</t>
  </si>
  <si>
    <t>producto</t>
  </si>
  <si>
    <t>Catálogo general de tipos de productos apícolas (Miel, Polen, Cera).</t>
  </si>
  <si>
    <t>Define la naturaleza de lo que se vende, más allá de quién lo produzca.</t>
  </si>
  <si>
    <t>oferta</t>
  </si>
  <si>
    <t>Publicación de un producto con stock y precio en el mercado.</t>
  </si>
  <si>
    <t>Depende del Producto. La oferta es solo una "instancia" de venta de un producto.</t>
  </si>
  <si>
    <t>pedido</t>
  </si>
  <si>
    <t>Transacción comercial iniciada por un consumidor.</t>
  </si>
  <si>
    <t>Depende del Usuario. Un pedido requiere obligatoriamente un cliente comprador.</t>
  </si>
  <si>
    <t>entidad</t>
  </si>
  <si>
    <t>Organismos externos (gubernamentales o certificadores) que validan el sector.</t>
  </si>
  <si>
    <t>Son actores externos con identidad jurídica propia.</t>
  </si>
  <si>
    <t>certificacion</t>
  </si>
  <si>
    <t>Documento que avala la calidad de un proceso o apiario.</t>
  </si>
  <si>
    <t>Depende de la Entidad que emite y del Apiario que la recibe.</t>
  </si>
  <si>
    <t>publicacion</t>
  </si>
  <si>
    <t>Contenido informativo o social compartido en el muro de la red.</t>
  </si>
  <si>
    <t>Aunque requiere un autor, cada post tiene un ID único y vida propia en el feed.</t>
  </si>
  <si>
    <t>Nombre Relación</t>
  </si>
  <si>
    <t>Descripción</t>
  </si>
  <si>
    <t>Entidades</t>
  </si>
  <si>
    <t>Cardinalidades</t>
  </si>
  <si>
    <t>Es M:N</t>
  </si>
  <si>
    <t>Descartable</t>
  </si>
  <si>
    <t>usuario_rol</t>
  </si>
  <si>
    <t>Un usuario tiene un rol específico en el sistema.</t>
  </si>
  <si>
    <t>Izquierda</t>
  </si>
  <si>
    <t>Izq/Der</t>
  </si>
  <si>
    <t>1:N</t>
  </si>
  <si>
    <t>NO</t>
  </si>
  <si>
    <t>SI</t>
  </si>
  <si>
    <t>Derecha</t>
  </si>
  <si>
    <t>Der/Izq</t>
  </si>
  <si>
    <t>1:1</t>
  </si>
  <si>
    <t>usuario_apiario</t>
  </si>
  <si>
    <t>Un usuario puede administrar varios apiarios.</t>
  </si>
  <si>
    <t>usuario_pedido</t>
  </si>
  <si>
    <t>Un usuario puede realizar múltiples pedidos.</t>
  </si>
  <si>
    <t>usuario_producto</t>
  </si>
  <si>
    <t>Un usuario ofrece diversos productos.</t>
  </si>
  <si>
    <t>apiario_publicacion</t>
  </si>
  <si>
    <t>Un apiario contiene publicaciones de estado.</t>
  </si>
  <si>
    <t>publicacion_colmena</t>
  </si>
  <si>
    <t>Una publicación monitorea una colmena.</t>
  </si>
  <si>
    <t>colmena_cosecha</t>
  </si>
  <si>
    <t>Varias colmenas pueden generar varias cosechas.</t>
  </si>
  <si>
    <t>colmena_sensor</t>
  </si>
  <si>
    <t>Una colmena registra datos mediante sensores.</t>
  </si>
  <si>
    <t>sensor_lectura</t>
  </si>
  <si>
    <t>Un sensor genera múltiples lecturas.</t>
  </si>
  <si>
    <t>lectura</t>
  </si>
  <si>
    <t>Diagrama de Entidad - Relación de Chen</t>
  </si>
  <si>
    <r>
      <rPr>
        <rFont val="Calibri"/>
        <b/>
        <color rgb="FFFFFFFF"/>
        <sz val="14.0"/>
      </rPr>
      <t>PRIMERA FORMA NORMAL (1FN)</t>
    </r>
    <r>
      <rPr>
        <rFont val="Calibri"/>
        <b/>
        <color rgb="FFFFFFFF"/>
        <sz val="18.0"/>
      </rPr>
      <t xml:space="preserve">
</t>
    </r>
    <r>
      <rPr>
        <rFont val="Calibri"/>
        <b/>
        <i/>
        <color rgb="FFD9D9D9"/>
        <sz val="13.0"/>
      </rPr>
      <t>(Esta pestaña es opcional - no es obligatoria - pero es una excelente herramienta para descubrir entidades)</t>
    </r>
  </si>
  <si>
    <t>Pasos</t>
  </si>
  <si>
    <t>Descripción de las acciones para llegar la 1FN</t>
  </si>
  <si>
    <t>Analizar el diagrama E-R para identificar todas las entidades del sistema, junto con sus atributos correspondientes.</t>
  </si>
  <si>
    <t>Asignar un atributo identificador único para cada entidad, con el fin de garantizar que cada registro pueda identificarse de manera única dentro de la tabla.</t>
  </si>
  <si>
    <t>Verificar que cada atributo contenga un solo valor por registro, evitando listas o datos repetidos dentro de una misma columna.</t>
  </si>
  <si>
    <t>Estructurar los datos de manera que cada fila represente un registro único y cada columna un atributo específico, asegurando que todos los valores sean atómicos</t>
  </si>
  <si>
    <r>
      <rPr>
        <rFont val="Arial"/>
        <b/>
        <color rgb="FFFFFFFF"/>
        <sz val="12.0"/>
      </rPr>
      <t xml:space="preserve">Atributos de todas las entidades
</t>
    </r>
    <r>
      <rPr>
        <rFont val="Arial"/>
        <b val="0"/>
        <i/>
        <color rgb="FFFFFF00"/>
        <sz val="10.0"/>
      </rPr>
      <t>(este formato le servirará para facilitar la asociación de atributos a entidades)</t>
    </r>
  </si>
  <si>
    <r>
      <rPr>
        <rFont val="Calibri"/>
        <b/>
        <color rgb="FFFFFFFF"/>
        <sz val="14.0"/>
      </rPr>
      <t xml:space="preserve">Información de los REGISTROS (Filas) - Colocar datos ficticios
</t>
    </r>
    <r>
      <rPr>
        <rFont val="Calibri"/>
        <b val="0"/>
        <i/>
        <color rgb="FFFFFF00"/>
        <sz val="12.0"/>
      </rPr>
      <t>(este ejercicio servirá para comprender mejor los datos y "descubrir" entidades)</t>
    </r>
  </si>
  <si>
    <t>Datos</t>
  </si>
  <si>
    <t>Nombre atributo</t>
  </si>
  <si>
    <t>Descripción atributo</t>
  </si>
  <si>
    <r>
      <rPr>
        <rFont val="Calibri"/>
        <b/>
        <color theme="1"/>
        <sz val="9.0"/>
      </rPr>
      <t xml:space="preserve">Potencial Entidad o Relación
</t>
    </r>
    <r>
      <rPr>
        <rFont val="Calibri"/>
        <b val="0"/>
        <i/>
        <color rgb="FF666666"/>
        <sz val="9.0"/>
      </rPr>
      <t>a la que pertenecería</t>
    </r>
  </si>
  <si>
    <r>
      <rPr>
        <rFont val="Arial"/>
        <b/>
        <color rgb="FF0000FF"/>
        <sz val="8.0"/>
      </rPr>
      <t xml:space="preserve">Tuple/Registro/Fila 1
</t>
    </r>
    <r>
      <rPr>
        <rFont val="Arial"/>
        <b/>
        <color rgb="FF0000FF"/>
        <sz val="8.0"/>
      </rPr>
      <t>Valor atributo o dato (invente el dato)</t>
    </r>
  </si>
  <si>
    <r>
      <rPr>
        <rFont val="Arial"/>
        <b/>
        <color rgb="FF0000FF"/>
        <sz val="8.0"/>
      </rPr>
      <t xml:space="preserve">Tuple/Registro/Fila 2
</t>
    </r>
    <r>
      <rPr>
        <rFont val="Arial"/>
        <b/>
        <color rgb="FF0000FF"/>
        <sz val="8.0"/>
      </rPr>
      <t>Valor atributo o dato (invente el dato)</t>
    </r>
  </si>
  <si>
    <r>
      <rPr>
        <rFont val="Arial"/>
        <b/>
        <color rgb="FF0000FF"/>
        <sz val="8.0"/>
      </rPr>
      <t xml:space="preserve">Tuple/Registro/Fila 3
</t>
    </r>
    <r>
      <rPr>
        <rFont val="Arial"/>
        <b/>
        <color rgb="FF0000FF"/>
        <sz val="8.0"/>
      </rPr>
      <t>Valor atributo o dato (invente el dato)</t>
    </r>
  </si>
  <si>
    <t>Dato 1</t>
  </si>
  <si>
    <t>id_usuario</t>
  </si>
  <si>
    <t>identificador único del usuario</t>
  </si>
  <si>
    <t>U001</t>
  </si>
  <si>
    <t>U002</t>
  </si>
  <si>
    <t>U003</t>
  </si>
  <si>
    <t>Dato 2</t>
  </si>
  <si>
    <t>nombre_usuario</t>
  </si>
  <si>
    <t>nombre del usuario</t>
  </si>
  <si>
    <t>Franklin Torres</t>
  </si>
  <si>
    <t>Samuel Gaviria</t>
  </si>
  <si>
    <t>Eder Quintana</t>
  </si>
  <si>
    <t>Dato 3</t>
  </si>
  <si>
    <t>correo</t>
  </si>
  <si>
    <t>correo electrónico</t>
  </si>
  <si>
    <t>Franklin@mail.com</t>
  </si>
  <si>
    <t>Samuel@gmail.com</t>
  </si>
  <si>
    <t>Eder@gmail.com</t>
  </si>
  <si>
    <t>Dato 4</t>
  </si>
  <si>
    <t>telefono</t>
  </si>
  <si>
    <t>teléfono del usuario</t>
  </si>
  <si>
    <t>Dato 5</t>
  </si>
  <si>
    <t>id_productor</t>
  </si>
  <si>
    <t>identificador del productor</t>
  </si>
  <si>
    <t>productor</t>
  </si>
  <si>
    <t>P001</t>
  </si>
  <si>
    <t>P002</t>
  </si>
  <si>
    <t>P003</t>
  </si>
  <si>
    <t>Dato 6</t>
  </si>
  <si>
    <t>usuario asociado al productor</t>
  </si>
  <si>
    <t>Dato 7</t>
  </si>
  <si>
    <t>nombre_granja</t>
  </si>
  <si>
    <t>nombre de la granja</t>
  </si>
  <si>
    <t>Miel del Valle</t>
  </si>
  <si>
    <t>Colmenas Norte</t>
  </si>
  <si>
    <t>Apiario Real</t>
  </si>
  <si>
    <t>Dato 8</t>
  </si>
  <si>
    <t>ubicacion</t>
  </si>
  <si>
    <t>ubicación del productor</t>
  </si>
  <si>
    <t>Antioquia</t>
  </si>
  <si>
    <t>Caldas</t>
  </si>
  <si>
    <t>Boyacá</t>
  </si>
  <si>
    <t>Dato 9</t>
  </si>
  <si>
    <t>id_producto</t>
  </si>
  <si>
    <t>identificador del producto</t>
  </si>
  <si>
    <t>PR001</t>
  </si>
  <si>
    <t>PR002</t>
  </si>
  <si>
    <t>PR003</t>
  </si>
  <si>
    <t>Dato 10</t>
  </si>
  <si>
    <t>nombre_producto</t>
  </si>
  <si>
    <t>nombre del producto</t>
  </si>
  <si>
    <t>Miel pura</t>
  </si>
  <si>
    <t>Polen natural</t>
  </si>
  <si>
    <t>Cera de abeja</t>
  </si>
  <si>
    <t>Dato 11</t>
  </si>
  <si>
    <t>precio</t>
  </si>
  <si>
    <t>precio del producto</t>
  </si>
  <si>
    <t>Dato 12</t>
  </si>
  <si>
    <t>productor que ofrece el producto</t>
  </si>
  <si>
    <t>Dato 13</t>
  </si>
  <si>
    <t>id_colmena</t>
  </si>
  <si>
    <t>identificador de la colmena</t>
  </si>
  <si>
    <t>C001</t>
  </si>
  <si>
    <t>C002</t>
  </si>
  <si>
    <t>C003</t>
  </si>
  <si>
    <t>Dato 14</t>
  </si>
  <si>
    <t>ubicacion_colmena</t>
  </si>
  <si>
    <t>ubicación de la colmena</t>
  </si>
  <si>
    <t>Zona A</t>
  </si>
  <si>
    <t>Zona B</t>
  </si>
  <si>
    <t>Zona C</t>
  </si>
  <si>
    <t>Dato 15</t>
  </si>
  <si>
    <t>productor dueño de la colmena</t>
  </si>
  <si>
    <t>Dato 16</t>
  </si>
  <si>
    <t>id_sensor</t>
  </si>
  <si>
    <t>identificador del sensor</t>
  </si>
  <si>
    <t>sensor_iot</t>
  </si>
  <si>
    <t>S001</t>
  </si>
  <si>
    <t>S002</t>
  </si>
  <si>
    <t>S003</t>
  </si>
  <si>
    <t>Dato 17</t>
  </si>
  <si>
    <t>tipo_sensor</t>
  </si>
  <si>
    <t>tipo de sensor</t>
  </si>
  <si>
    <t>temperatura</t>
  </si>
  <si>
    <t>humedad</t>
  </si>
  <si>
    <t>movimiento</t>
  </si>
  <si>
    <t>Dato 18</t>
  </si>
  <si>
    <t>fecha_instalacion</t>
  </si>
  <si>
    <t>fecha de instalación del sensor</t>
  </si>
  <si>
    <t>Dato 19</t>
  </si>
  <si>
    <t>colmena monitoreada</t>
  </si>
  <si>
    <t>Dato 20</t>
  </si>
  <si>
    <t>id_pedido</t>
  </si>
  <si>
    <t>identificador del pedido</t>
  </si>
  <si>
    <t>PE001</t>
  </si>
  <si>
    <t>PE002</t>
  </si>
  <si>
    <t>PE003</t>
  </si>
  <si>
    <t>Dato 21</t>
  </si>
  <si>
    <t>fecha_pedido</t>
  </si>
  <si>
    <t>fecha del pedido</t>
  </si>
  <si>
    <t>Dato 22</t>
  </si>
  <si>
    <t>estado_pedido</t>
  </si>
  <si>
    <t>estado del pedido</t>
  </si>
  <si>
    <t>enviado</t>
  </si>
  <si>
    <t>pendiente</t>
  </si>
  <si>
    <t>entregado</t>
  </si>
  <si>
    <t>Dato 23</t>
  </si>
  <si>
    <t>usuario que realiza el pedido</t>
  </si>
  <si>
    <t>Dato 24</t>
  </si>
  <si>
    <t>id_detalle</t>
  </si>
  <si>
    <t>identificador del detalle del pedido</t>
  </si>
  <si>
    <t>detalle_pedido</t>
  </si>
  <si>
    <t>D001</t>
  </si>
  <si>
    <t>D002</t>
  </si>
  <si>
    <t>D003</t>
  </si>
  <si>
    <t>Dato 25</t>
  </si>
  <si>
    <t>pedido asociado</t>
  </si>
  <si>
    <t>Dato 26</t>
  </si>
  <si>
    <t>producto comprado</t>
  </si>
  <si>
    <t>Dato 27</t>
  </si>
  <si>
    <t>cantidad</t>
  </si>
  <si>
    <t>cantidad comprada</t>
  </si>
  <si>
    <t>Dato 28</t>
  </si>
  <si>
    <t>precio_unitario</t>
  </si>
  <si>
    <t>precio por unidad</t>
  </si>
  <si>
    <t>Dato 29</t>
  </si>
  <si>
    <t>Dato 30</t>
  </si>
  <si>
    <t>Dato 31</t>
  </si>
  <si>
    <t>Dato 32</t>
  </si>
  <si>
    <t>Dato 33</t>
  </si>
  <si>
    <t>Dato 34</t>
  </si>
  <si>
    <t>Dato 35</t>
  </si>
  <si>
    <t>Dato 36</t>
  </si>
  <si>
    <t>Dato 37</t>
  </si>
  <si>
    <t>Dato 38</t>
  </si>
  <si>
    <t>Dato 39</t>
  </si>
  <si>
    <t>Dato 40</t>
  </si>
  <si>
    <t>Dato ...</t>
  </si>
  <si>
    <t>Dato N</t>
  </si>
  <si>
    <t>SEGUNDA FORMA NORMAL (2FN)</t>
  </si>
  <si>
    <t>Descripción de las acciones para llegar a 2FN</t>
  </si>
  <si>
    <t>revisa que la tabla cumpla con la 1FN</t>
  </si>
  <si>
    <t>determinar cuál es el atributo o conjunto de atributos que identifica de forma única cada registro en la tabla.</t>
  </si>
  <si>
    <t>Detectar dependencias parciales (si existen)</t>
  </si>
  <si>
    <t>Crear nuevas tablas para eliminar dependencias parciales</t>
  </si>
  <si>
    <t>Tablas resultantes</t>
  </si>
  <si>
    <t>Tabla</t>
  </si>
  <si>
    <t>Usuario</t>
  </si>
  <si>
    <t>Descripción Tabla</t>
  </si>
  <si>
    <t>usuarios registrados en
el sistema</t>
  </si>
  <si>
    <t>Atributo</t>
  </si>
  <si>
    <t>Descripción Atributo</t>
  </si>
  <si>
    <t>Claves</t>
  </si>
  <si>
    <t>identificador unico de usuario</t>
  </si>
  <si>
    <t>UK</t>
  </si>
  <si>
    <t>nombre de usuario</t>
  </si>
  <si>
    <t>Ader Quintana</t>
  </si>
  <si>
    <t>correo electronico</t>
  </si>
  <si>
    <t>Ader@gmail.com</t>
  </si>
  <si>
    <t>teléfono de usuario</t>
  </si>
  <si>
    <t>N</t>
  </si>
  <si>
    <t>Productor</t>
  </si>
  <si>
    <t>Productores registrados
en el sistema</t>
  </si>
  <si>
    <t>PK</t>
  </si>
  <si>
    <t>Producto</t>
  </si>
  <si>
    <t>productos ofrecidos</t>
  </si>
  <si>
    <t>Colmena</t>
  </si>
  <si>
    <t>Colmenas propiedad de
los productores</t>
  </si>
  <si>
    <t>FK</t>
  </si>
  <si>
    <t>Sensor IoT</t>
  </si>
  <si>
    <t>Sensores instalados 
en colmenas</t>
  </si>
  <si>
    <t>Pedidos</t>
  </si>
  <si>
    <t>Pedidos realizados
por usuarios</t>
  </si>
  <si>
    <t>Detalles de prodcutos
en pedido</t>
  </si>
  <si>
    <t>TERCERA FORMA NORMAL (3FN)</t>
  </si>
  <si>
    <t>Descripción de las acciones para llegar a 3FN</t>
  </si>
  <si>
    <t>Identificar la clave primaria (PK)</t>
  </si>
  <si>
    <t>Buscar dependencias transitivas</t>
  </si>
  <si>
    <t>Separar los atributos que dependen de otros atributos no clave</t>
  </si>
  <si>
    <t>Crear una nueva tabla y relacionarla con una FK</t>
  </si>
  <si>
    <t>Almacena información
basica de los usuarios</t>
  </si>
  <si>
    <t>identifica cada usuario del sistema</t>
  </si>
  <si>
    <t>nombre del usuario registrado</t>
  </si>
  <si>
    <t>nombre completo del usuario</t>
  </si>
  <si>
    <t>correo electrónico del usuario</t>
  </si>
  <si>
    <t>medio de contacto del usuario</t>
  </si>
  <si>
    <t>número de contacto del usuario</t>
  </si>
  <si>
    <t>referencia interna del registro</t>
  </si>
  <si>
    <t>Almacena informacion
de los productores</t>
  </si>
  <si>
    <t>identifica cada productor</t>
  </si>
  <si>
    <t>usuario propietario del perfil productor</t>
  </si>
  <si>
    <t>nombre del apiario</t>
  </si>
  <si>
    <t>departamento donde se encuentra la granja</t>
  </si>
  <si>
    <t>referencia del productor</t>
  </si>
  <si>
    <t>Almacena productos
ofrecidos</t>
  </si>
  <si>
    <t>identifica cada producto</t>
  </si>
  <si>
    <t>nombre comercial del producto</t>
  </si>
  <si>
    <t>valor de venta del producto</t>
  </si>
  <si>
    <t>relación con productor</t>
  </si>
  <si>
    <t>referencia interna del producto</t>
  </si>
  <si>
    <t>registra colmenas que
pertenecen a cada 
productor</t>
  </si>
  <si>
    <t>identifica cada colmena</t>
  </si>
  <si>
    <t>zona específica dentro del apiario</t>
  </si>
  <si>
    <t>referencia interna de colmena</t>
  </si>
  <si>
    <t>zona de monitoreo de la colmena</t>
  </si>
  <si>
    <t>Registra los sensores
instalados en las 
colmenas para monitoreo</t>
  </si>
  <si>
    <t>identifica cada sensor</t>
  </si>
  <si>
    <t>sensor de temperatura, humedad o movimiento</t>
  </si>
  <si>
    <t>momento en que fue instalado</t>
  </si>
  <si>
    <t>relación con colmena</t>
  </si>
  <si>
    <t>referencia interna del sensor</t>
  </si>
  <si>
    <t>Almacena los pedidos 
realizados por usuarios</t>
  </si>
  <si>
    <t>identifica cada pedido</t>
  </si>
  <si>
    <t>fecha en que se realizó la compra</t>
  </si>
  <si>
    <t>estado del proceso de compra</t>
  </si>
  <si>
    <t>relación con usuario</t>
  </si>
  <si>
    <t>referencia del pedido</t>
  </si>
  <si>
    <t>almacena los productos
incluidos en cada pedido</t>
  </si>
  <si>
    <t>identifica cada registro del detalle</t>
  </si>
  <si>
    <t>relación con pedido</t>
  </si>
  <si>
    <t>relación con producto</t>
  </si>
  <si>
    <t>número de unidades compradas</t>
  </si>
  <si>
    <t>precio del producto al momento de la compra</t>
  </si>
  <si>
    <t>DICCIONARIO DE DATOS GENÉRICO</t>
  </si>
  <si>
    <t>Inventario de Tablas</t>
  </si>
  <si>
    <t>Deriva de la entidad usuario</t>
  </si>
  <si>
    <t>Registra a los productores del sistema, vinculando su perfil con una granja y una ubicación específica.</t>
  </si>
  <si>
    <t>Deriva de la entidad Productor en el modelo ER, la cual mantiene una relación de dependencia con la tabla Usuario a través de la llave</t>
  </si>
  <si>
    <t>Registra los productos ofrecidos en el sistema, detallando su nombre, precio de venta y el productor específico que los suministra.</t>
  </si>
  <si>
    <t>Deriva de la entidad Producto del modelo ER, la cual tiene una relación de pertenencia con la entidad Productor; se vincula a esta última mediante el atributo id_productor para identificar quién ofrece cada artículo.</t>
  </si>
  <si>
    <t>Contiene los datos de las colmenas que son propiedad de los productores, especificando su ubicación física dentro de las zonas de trabajo</t>
  </si>
  <si>
    <t>Proviene de la entidad Colmena del modelo ER, la cual mantiene una relación de dependencia con la entidad Productor mediante la clave foránea id_productor</t>
  </si>
  <si>
    <t>Sensor</t>
  </si>
  <si>
    <t>Registra los dispositivos tecnológicos instalados en las colmenas, almacenando el tipo de sensor y su fecha de instalación para el monitoreo</t>
  </si>
  <si>
    <t>Deriva de la entidad Sensor IoT del modelo ER, vinculándose directamente con la entidad Colmena a través del atributo id_colmena para asignar cada dispositivo a una unidad de producción específica.</t>
  </si>
  <si>
    <t>Gestiona las órdenes realizadas por los usuarios, registrando la fecha del pedido, su estado actual y el comprador.</t>
  </si>
  <si>
    <t>Proviene de la entidad Pedidos del modelo ER, la cual surge de la interacción entre los usuarios y el sistema, vinculándose a través de la llave foránea id_usuario.</t>
  </si>
  <si>
    <t>Detalle Pedido</t>
  </si>
  <si>
    <t>Desglosa los productos incluidos en cada pedido, especificando la cantidad y el precio unitario.</t>
  </si>
  <si>
    <t>Proviene de la relación de muchos a muchos entre Pedidos y Productos en el modelo ER, transformándose en una tabla intermedia conectada por id_pedido e id_producto.</t>
  </si>
  <si>
    <t>Tablas en Detalle</t>
  </si>
  <si>
    <r>
      <rPr>
        <rFont val="Calibri"/>
        <b/>
        <color rgb="FF000000"/>
        <sz val="13.0"/>
      </rPr>
      <t xml:space="preserve">Versión
</t>
    </r>
    <r>
      <rPr>
        <rFont val="Calibri"/>
        <b/>
        <color rgb="FF000000"/>
        <sz val="11.0"/>
      </rPr>
      <t>Control Versiones</t>
    </r>
  </si>
  <si>
    <t>1.0</t>
  </si>
  <si>
    <t>Campo</t>
  </si>
  <si>
    <t>Descripción Campo</t>
  </si>
  <si>
    <t>Tipo Dato
(Genérico)</t>
  </si>
  <si>
    <t>Tamaño / Longitud</t>
  </si>
  <si>
    <t>Nulo</t>
  </si>
  <si>
    <t>Nota/Comentarios</t>
  </si>
  <si>
    <t>Identificador único del usuario</t>
  </si>
  <si>
    <t>INT</t>
  </si>
  <si>
    <t>No</t>
  </si>
  <si>
    <t>S</t>
  </si>
  <si>
    <t>Clave primaria autoincremental</t>
  </si>
  <si>
    <t>Nombre completo del usuario</t>
  </si>
  <si>
    <t>VARCHAR</t>
  </si>
  <si>
    <t>Registro obligatorio del nombre</t>
  </si>
  <si>
    <t>Correo electrónico del usuario</t>
  </si>
  <si>
    <t>Medio de contacto único</t>
  </si>
  <si>
    <t>Número de contacto del usuario</t>
  </si>
  <si>
    <t>Sí</t>
  </si>
  <si>
    <t>Dato opcional para comunicación</t>
  </si>
  <si>
    <t>Versión</t>
  </si>
  <si>
    <t>Identificador del productor</t>
  </si>
  <si>
    <t>Identifica cada productor</t>
  </si>
  <si>
    <t>Usuario asociado al productor</t>
  </si>
  <si>
    <t>Propietario del perfil productor</t>
  </si>
  <si>
    <t>Nombre de la granja</t>
  </si>
  <si>
    <t>Nombre del apiario</t>
  </si>
  <si>
    <t>Ubicación del productor</t>
  </si>
  <si>
    <t>Departamento donde se encuentra la granja</t>
  </si>
  <si>
    <t>Identificador del producto</t>
  </si>
  <si>
    <t>Identifica cada producto</t>
  </si>
  <si>
    <t>Nombre comercial del producto</t>
  </si>
  <si>
    <t>Nombre del producto ofrecido</t>
  </si>
  <si>
    <t>Valor de venta del producto</t>
  </si>
  <si>
    <t>DECIMAL</t>
  </si>
  <si>
    <t>Precio unitario del producto</t>
  </si>
  <si>
    <t>Relación con el productor</t>
  </si>
  <si>
    <t>Productor que ofrece el producto</t>
  </si>
  <si>
    <t>Identificador de la colmena</t>
  </si>
  <si>
    <t>Identifica cada colmena de forma única</t>
  </si>
  <si>
    <t>Ubicación de la colmena</t>
  </si>
  <si>
    <t>Zona específica dentro del apiario</t>
  </si>
  <si>
    <t>Productor dueño de la colmena</t>
  </si>
  <si>
    <t>Relación con la tabla Productor</t>
  </si>
  <si>
    <t>Identificador del sensor</t>
  </si>
  <si>
    <t>Identifica cada sensor de forma única</t>
  </si>
  <si>
    <t>Tipo de sensor</t>
  </si>
  <si>
    <t>Sensor de temperatura, humedad o movimiento</t>
  </si>
  <si>
    <t>Fecha de instalación</t>
  </si>
  <si>
    <t>DATE</t>
  </si>
  <si>
    <t>Momento en que fue instalado el dispositivo</t>
  </si>
  <si>
    <t>Colmena monitoreada</t>
  </si>
  <si>
    <t>Relación con la colmena específica</t>
  </si>
  <si>
    <t>Identificador del pedido</t>
  </si>
  <si>
    <t>Identifica cada pedido de forma única</t>
  </si>
  <si>
    <t>Fecha del pedido</t>
  </si>
  <si>
    <t>Fecha en que se realizó la compra</t>
  </si>
  <si>
    <t>Estado del pedido</t>
  </si>
  <si>
    <t>Estado del proceso de compra (ej. enviado)</t>
  </si>
  <si>
    <t>Usuario que realiza el pedido</t>
  </si>
  <si>
    <t>Relación con el comprador en la tabla Usuario</t>
  </si>
  <si>
    <t>Identificador del detalle del pedido</t>
  </si>
  <si>
    <t>Identifica cada registro del detalle</t>
  </si>
  <si>
    <t>Pedido asociado</t>
  </si>
  <si>
    <t>Relación con el pedido general</t>
  </si>
  <si>
    <t>Producto comprado</t>
  </si>
  <si>
    <t>Relación con el producto específico</t>
  </si>
  <si>
    <t>Cantidad comprada</t>
  </si>
  <si>
    <t>Número de unidades compradas</t>
  </si>
  <si>
    <t>Precio por unidad</t>
  </si>
  <si>
    <t>Precio al momento de la compra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</si>
</sst>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5">
    <font>
      <sz val="10.0"/>
      <color rgb="FF000000"/>
      <name val="Arial"/>
      <scheme val="minor"/>
    </font>
    <font>
      <b/>
      <sz val="14.0"/>
      <color rgb="FFFFFFFF"/>
      <name val="Calibri"/>
    </font>
    <font>
      <b/>
      <sz val="18.0"/>
      <color rgb="FFFFFFFF"/>
      <name val="Calibri"/>
    </font>
    <font>
      <b/>
      <sz val="12.0"/>
      <color theme="1"/>
      <name val="Calibri"/>
    </font>
    <font>
      <b/>
      <sz val="12.0"/>
      <color rgb="FF000000"/>
      <name val="Calibri"/>
    </font>
    <font>
      <b/>
      <sz val="13.0"/>
      <color rgb="FF0070C0"/>
      <name val="Calibri"/>
    </font>
    <font>
      <color theme="1"/>
      <name val="Arial"/>
    </font>
    <font>
      <b/>
      <sz val="13.0"/>
      <color rgb="FF000000"/>
      <name val="Calibri"/>
    </font>
    <font/>
    <font>
      <sz val="14.0"/>
      <color rgb="FF000000"/>
      <name val="Arial"/>
    </font>
    <font>
      <sz val="12.0"/>
      <color theme="1"/>
      <name val="Arial"/>
    </font>
    <font>
      <b/>
      <sz val="10.0"/>
      <color rgb="FF000000"/>
      <name val="Calibri"/>
    </font>
    <font>
      <b/>
      <color rgb="FF000000"/>
      <name val="Arial"/>
    </font>
    <font>
      <color rgb="FF000000"/>
      <name val="Arial"/>
    </font>
    <font>
      <b/>
      <sz val="11.0"/>
      <color rgb="FF000000"/>
      <name val="Arial"/>
    </font>
    <font>
      <b/>
      <i/>
      <color rgb="FF999999"/>
      <name val="Arial"/>
    </font>
    <font>
      <b/>
      <sz val="16.0"/>
      <color rgb="FFFFFFFF"/>
      <name val="Calibri"/>
    </font>
    <font>
      <b/>
      <sz val="18.0"/>
      <color rgb="FF980000"/>
      <name val="Calibri"/>
    </font>
    <font>
      <color theme="1"/>
      <name val="Arial"/>
      <scheme val="minor"/>
    </font>
    <font>
      <b/>
      <sz val="12.0"/>
      <color rgb="FFFFFFFF"/>
      <name val="Arial"/>
    </font>
    <font>
      <b/>
      <sz val="12.0"/>
      <color rgb="FFFFFFFF"/>
      <name val="Calibri"/>
    </font>
    <font>
      <b/>
      <sz val="9.0"/>
      <color theme="1"/>
      <name val="Calibri"/>
    </font>
    <font>
      <b/>
      <sz val="8.0"/>
      <color rgb="FF0000FF"/>
      <name val="Arial"/>
    </font>
    <font>
      <b/>
      <i/>
      <sz val="12.0"/>
      <color rgb="FF0000FF"/>
      <name val="Calibri"/>
    </font>
    <font>
      <sz val="11.0"/>
      <color theme="1"/>
      <name val="Calibri"/>
    </font>
    <font>
      <b/>
      <sz val="13.0"/>
      <color rgb="FFFFFFFF"/>
      <name val="Calibri"/>
    </font>
    <font>
      <b/>
      <sz val="15.0"/>
      <color theme="1"/>
      <name val="Calibri"/>
    </font>
    <font>
      <sz val="11.0"/>
      <color theme="1"/>
      <name val="Arial"/>
      <scheme val="minor"/>
    </font>
    <font>
      <b/>
      <sz val="15.0"/>
      <color rgb="FFFFFFFF"/>
      <name val="Calibri"/>
    </font>
    <font>
      <b/>
      <sz val="12.0"/>
      <color rgb="FF0000FF"/>
      <name val="Calibri"/>
    </font>
    <font>
      <b/>
      <sz val="15.0"/>
      <color rgb="FF000000"/>
      <name val="Calibri"/>
    </font>
    <font>
      <b/>
      <color theme="1"/>
      <name val="Arial"/>
      <scheme val="minor"/>
    </font>
    <font>
      <b/>
      <sz val="12.0"/>
      <color theme="1"/>
      <name val="Arial"/>
    </font>
    <font>
      <b/>
      <sz val="19.0"/>
      <color rgb="FF0000FF"/>
      <name val="Arial"/>
    </font>
    <font>
      <sz val="11.0"/>
      <color theme="1"/>
      <name val="Arial"/>
    </font>
    <font>
      <sz val="12.0"/>
      <color theme="1"/>
      <name val="Arial"/>
      <scheme val="minor"/>
    </font>
    <font>
      <b/>
      <sz val="14.0"/>
      <color rgb="FF000000"/>
      <name val="Calibri"/>
    </font>
    <font>
      <i/>
      <color theme="1"/>
      <name val="Calibri"/>
    </font>
    <font>
      <b/>
      <sz val="14.0"/>
      <color theme="1"/>
      <name val="Calibri"/>
    </font>
    <font>
      <color theme="1"/>
      <name val="Calibri"/>
    </font>
    <font>
      <b/>
      <sz val="15.0"/>
      <color rgb="FF0000FF"/>
      <name val="Calibri"/>
    </font>
    <font>
      <b/>
      <sz val="9.0"/>
      <color rgb="FF666666"/>
      <name val="Calibri"/>
    </font>
    <font>
      <b/>
      <sz val="9.0"/>
      <color rgb="FF000000"/>
      <name val="Calibri"/>
    </font>
    <font>
      <b/>
      <color theme="1"/>
      <name val="Arial"/>
    </font>
    <font>
      <sz val="14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C1F2F6"/>
        <bgColor rgb="FFC1F2F6"/>
      </patternFill>
    </fill>
    <fill>
      <patternFill patternType="solid">
        <fgColor theme="4"/>
        <bgColor theme="4"/>
      </patternFill>
    </fill>
    <fill>
      <patternFill patternType="solid">
        <fgColor rgb="FFD2EDEF"/>
        <bgColor rgb="FFD2EDEF"/>
      </patternFill>
    </fill>
    <fill>
      <patternFill patternType="solid">
        <fgColor rgb="FF1155CC"/>
        <bgColor rgb="FF1155CC"/>
      </patternFill>
    </fill>
    <fill>
      <patternFill patternType="solid">
        <fgColor rgb="FF0B5394"/>
        <bgColor rgb="FF0B5394"/>
      </patternFill>
    </fill>
    <fill>
      <patternFill patternType="solid">
        <fgColor rgb="FF134F5C"/>
        <bgColor rgb="FF134F5C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</border>
    <border>
      <right style="thin">
        <color rgb="FF000000"/>
      </right>
      <top style="thick">
        <color rgb="FF000000"/>
      </top>
    </border>
  </borders>
  <cellStyleXfs count="1">
    <xf borderId="0" fillId="0" fontId="0" numFmtId="0" applyAlignment="1" applyFont="1"/>
  </cellStyleXfs>
  <cellXfs count="18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3" fontId="2" numFmtId="0" xfId="0" applyAlignment="1" applyFill="1" applyFont="1">
      <alignment horizontal="center" vertical="center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0" fillId="3" fontId="5" numFmtId="0" xfId="0" applyAlignment="1" applyFont="1">
      <alignment horizontal="center" shrinkToFit="0" wrapText="1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left" readingOrder="0" shrinkToFit="0" vertical="center" wrapText="0"/>
    </xf>
    <xf borderId="0" fillId="0" fontId="6" numFmtId="0" xfId="0" applyFont="1"/>
    <xf borderId="1" fillId="0" fontId="3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left" shrinkToFit="0" vertical="center" wrapText="0"/>
    </xf>
    <xf borderId="2" fillId="4" fontId="7" numFmtId="0" xfId="0" applyAlignment="1" applyBorder="1" applyFill="1" applyFont="1">
      <alignment horizontal="center" shrinkToFit="0" vertical="center" wrapText="1"/>
    </xf>
    <xf borderId="3" fillId="4" fontId="7" numFmtId="0" xfId="0" applyAlignment="1" applyBorder="1" applyFont="1">
      <alignment horizontal="center" shrinkToFit="0" vertical="center" wrapText="1"/>
    </xf>
    <xf borderId="4" fillId="0" fontId="8" numFmtId="0" xfId="0" applyBorder="1" applyFont="1"/>
    <xf borderId="2" fillId="0" fontId="4" numFmtId="0" xfId="0" applyAlignment="1" applyBorder="1" applyFont="1">
      <alignment horizontal="center" shrinkToFit="0" vertical="center" wrapText="1"/>
    </xf>
    <xf borderId="2" fillId="0" fontId="9" numFmtId="0" xfId="0" applyAlignment="1" applyBorder="1" applyFont="1">
      <alignment horizontal="center" readingOrder="0" shrinkToFit="0" vertical="center" wrapText="1"/>
    </xf>
    <xf borderId="2" fillId="0" fontId="10" numFmtId="0" xfId="0" applyAlignment="1" applyBorder="1" applyFont="1">
      <alignment horizontal="left" readingOrder="0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left" readingOrder="0"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borderId="2" fillId="0" fontId="13" numFmtId="0" xfId="0" applyAlignment="1" applyBorder="1" applyFont="1">
      <alignment horizontal="center" readingOrder="0" vertical="center"/>
    </xf>
    <xf borderId="2" fillId="0" fontId="14" numFmtId="0" xfId="0" applyAlignment="1" applyBorder="1" applyFont="1">
      <alignment horizontal="center" readingOrder="0" vertical="center"/>
    </xf>
    <xf borderId="5" fillId="0" fontId="8" numFmtId="0" xfId="0" applyBorder="1" applyFont="1"/>
    <xf borderId="2" fillId="0" fontId="10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horizontal="left" readingOrder="0" shrinkToFit="0" vertical="center" wrapText="1"/>
    </xf>
    <xf borderId="1" fillId="0" fontId="6" numFmtId="0" xfId="0" applyAlignment="1" applyBorder="1" applyFont="1">
      <alignment horizontal="left" readingOrder="0" shrinkToFit="0" wrapText="1"/>
    </xf>
    <xf borderId="2" fillId="0" fontId="6" numFmtId="0" xfId="0" applyAlignment="1" applyBorder="1" applyFont="1">
      <alignment horizontal="center" readingOrder="0" vertical="center"/>
    </xf>
    <xf borderId="2" fillId="0" fontId="10" numFmtId="0" xfId="0" applyAlignment="1" applyBorder="1" applyFont="1">
      <alignment horizontal="left" shrinkToFit="0" vertical="center" wrapText="1"/>
    </xf>
    <xf borderId="1" fillId="0" fontId="10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horizontal="left" shrinkToFit="0" wrapText="1"/>
    </xf>
    <xf borderId="2" fillId="0" fontId="6" numFmtId="0" xfId="0" applyBorder="1" applyFont="1"/>
    <xf borderId="2" fillId="0" fontId="15" numFmtId="0" xfId="0" applyAlignment="1" applyBorder="1" applyFont="1">
      <alignment horizontal="center" vertical="center"/>
    </xf>
    <xf borderId="6" fillId="5" fontId="16" numFmtId="0" xfId="0" applyAlignment="1" applyBorder="1" applyFill="1" applyFont="1">
      <alignment horizontal="center" vertical="center"/>
    </xf>
    <xf borderId="7" fillId="0" fontId="8" numFmtId="0" xfId="0" applyBorder="1" applyFont="1"/>
    <xf borderId="8" fillId="0" fontId="8" numFmtId="0" xfId="0" applyBorder="1" applyFont="1"/>
    <xf borderId="0" fillId="0" fontId="17" numFmtId="0" xfId="0" applyAlignment="1" applyFont="1">
      <alignment horizontal="center" vertical="center"/>
    </xf>
    <xf borderId="0" fillId="2" fontId="2" numFmtId="0" xfId="0" applyAlignment="1" applyFont="1">
      <alignment horizontal="center" vertical="center"/>
    </xf>
    <xf borderId="1" fillId="6" fontId="3" numFmtId="0" xfId="0" applyAlignment="1" applyBorder="1" applyFill="1" applyFont="1">
      <alignment horizontal="center" vertical="center"/>
    </xf>
    <xf borderId="9" fillId="6" fontId="3" numFmtId="0" xfId="0" applyAlignment="1" applyBorder="1" applyFont="1">
      <alignment horizontal="center" vertical="center"/>
    </xf>
    <xf borderId="10" fillId="0" fontId="8" numFmtId="0" xfId="0" applyBorder="1" applyFont="1"/>
    <xf borderId="11" fillId="0" fontId="8" numFmtId="0" xfId="0" applyBorder="1" applyFont="1"/>
    <xf borderId="1" fillId="0" fontId="3" numFmtId="0" xfId="0" applyAlignment="1" applyBorder="1" applyFont="1">
      <alignment horizontal="center"/>
    </xf>
    <xf borderId="0" fillId="0" fontId="18" numFmtId="0" xfId="0" applyAlignment="1" applyFont="1">
      <alignment readingOrder="0"/>
    </xf>
    <xf borderId="10" fillId="0" fontId="10" numFmtId="0" xfId="0" applyAlignment="1" applyBorder="1" applyFont="1">
      <alignment shrinkToFit="0" wrapText="1"/>
    </xf>
    <xf borderId="11" fillId="0" fontId="10" numFmtId="0" xfId="0" applyAlignment="1" applyBorder="1" applyFont="1">
      <alignment shrinkToFit="0" wrapText="1"/>
    </xf>
    <xf borderId="0" fillId="7" fontId="19" numFmtId="0" xfId="0" applyAlignment="1" applyFill="1" applyFont="1">
      <alignment horizontal="center" vertical="center"/>
    </xf>
    <xf borderId="0" fillId="8" fontId="1" numFmtId="0" xfId="0" applyAlignment="1" applyFill="1" applyFont="1">
      <alignment horizontal="center" vertical="center"/>
    </xf>
    <xf borderId="0" fillId="9" fontId="20" numFmtId="0" xfId="0" applyAlignment="1" applyFill="1" applyFont="1">
      <alignment horizontal="center" vertical="center"/>
    </xf>
    <xf borderId="1" fillId="6" fontId="21" numFmtId="0" xfId="0" applyAlignment="1" applyBorder="1" applyFont="1">
      <alignment horizontal="center" vertical="center"/>
    </xf>
    <xf borderId="1" fillId="6" fontId="22" numFmtId="0" xfId="0" applyAlignment="1" applyBorder="1" applyFont="1">
      <alignment horizontal="center" vertical="center"/>
    </xf>
    <xf borderId="1" fillId="6" fontId="2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24" numFmtId="0" xfId="0" applyAlignment="1" applyBorder="1" applyFont="1">
      <alignment horizontal="left" vertical="bottom"/>
    </xf>
    <xf borderId="1" fillId="0" fontId="24" numFmtId="0" xfId="0" applyAlignment="1" applyBorder="1" applyFont="1">
      <alignment horizontal="left" readingOrder="0" vertical="bottom"/>
    </xf>
    <xf borderId="1" fillId="0" fontId="24" numFmtId="164" xfId="0" applyAlignment="1" applyBorder="1" applyFont="1" applyNumberFormat="1">
      <alignment horizontal="left" vertical="bottom"/>
    </xf>
    <xf borderId="1" fillId="0" fontId="6" numFmtId="0" xfId="0" applyBorder="1" applyFont="1"/>
    <xf borderId="1" fillId="0" fontId="10" numFmtId="0" xfId="0" applyBorder="1" applyFont="1"/>
    <xf borderId="0" fillId="2" fontId="25" numFmtId="0" xfId="0" applyAlignment="1" applyFont="1">
      <alignment horizontal="left" vertical="center"/>
    </xf>
    <xf borderId="0" fillId="2" fontId="2" numFmtId="0" xfId="0" applyAlignment="1" applyFont="1">
      <alignment horizontal="left" vertical="center"/>
    </xf>
    <xf borderId="1" fillId="6" fontId="3" numFmtId="0" xfId="0" applyAlignment="1" applyBorder="1" applyFont="1">
      <alignment horizontal="left" vertical="center"/>
    </xf>
    <xf borderId="9" fillId="6" fontId="3" numFmtId="0" xfId="0" applyAlignment="1" applyBorder="1" applyFont="1">
      <alignment horizontal="left" vertical="center"/>
    </xf>
    <xf borderId="0" fillId="6" fontId="26" numFmtId="0" xfId="0" applyAlignment="1" applyFont="1">
      <alignment horizontal="left" vertical="center"/>
    </xf>
    <xf borderId="0" fillId="6" fontId="26" numFmtId="0" xfId="0" applyAlignment="1" applyFont="1">
      <alignment horizontal="center" vertical="center"/>
    </xf>
    <xf borderId="1" fillId="0" fontId="3" numFmtId="0" xfId="0" applyAlignment="1" applyBorder="1" applyFont="1">
      <alignment horizontal="left"/>
    </xf>
    <xf borderId="9" fillId="0" fontId="10" numFmtId="0" xfId="0" applyAlignment="1" applyBorder="1" applyFont="1">
      <alignment horizontal="left" readingOrder="0" shrinkToFit="0" wrapText="1"/>
    </xf>
    <xf borderId="0" fillId="0" fontId="27" numFmtId="0" xfId="0" applyAlignment="1" applyFont="1">
      <alignment horizontal="left" readingOrder="0"/>
    </xf>
    <xf borderId="0" fillId="0" fontId="6" numFmtId="0" xfId="0" applyAlignment="1" applyFont="1">
      <alignment shrinkToFit="0" wrapText="1"/>
    </xf>
    <xf borderId="9" fillId="0" fontId="10" numFmtId="0" xfId="0" applyAlignment="1" applyBorder="1" applyFont="1">
      <alignment horizontal="left" readingOrder="0" shrinkToFit="0" vertical="bottom" wrapText="1"/>
    </xf>
    <xf borderId="0" fillId="0" fontId="6" numFmtId="0" xfId="0" applyAlignment="1" applyFont="1">
      <alignment horizontal="left" shrinkToFit="0" wrapText="1"/>
    </xf>
    <xf borderId="9" fillId="7" fontId="20" numFmtId="0" xfId="0" applyAlignment="1" applyBorder="1" applyFont="1">
      <alignment horizontal="left" vertical="center"/>
    </xf>
    <xf borderId="0" fillId="7" fontId="28" numFmtId="0" xfId="0" applyAlignment="1" applyFont="1">
      <alignment horizontal="left" vertical="center"/>
    </xf>
    <xf borderId="0" fillId="7" fontId="28" numFmtId="0" xfId="0" applyAlignment="1" applyFont="1">
      <alignment horizontal="center" vertical="center"/>
    </xf>
    <xf borderId="0" fillId="0" fontId="18" numFmtId="0" xfId="0" applyAlignment="1" applyFont="1">
      <alignment horizontal="left"/>
    </xf>
    <xf borderId="1" fillId="10" fontId="29" numFmtId="0" xfId="0" applyAlignment="1" applyBorder="1" applyFill="1" applyFont="1">
      <alignment horizontal="left" shrinkToFit="0" vertical="center" wrapText="1"/>
    </xf>
    <xf borderId="9" fillId="11" fontId="4" numFmtId="0" xfId="0" applyAlignment="1" applyBorder="1" applyFill="1" applyFont="1">
      <alignment horizontal="left" shrinkToFit="0" vertical="center" wrapText="1"/>
    </xf>
    <xf borderId="9" fillId="0" fontId="4" numFmtId="0" xfId="0" applyAlignment="1" applyBorder="1" applyFont="1">
      <alignment horizontal="left" readingOrder="0" shrinkToFit="0" vertical="center" wrapText="1"/>
    </xf>
    <xf borderId="9" fillId="11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0" fillId="0" fontId="30" numFmtId="0" xfId="0" applyAlignment="1" applyFont="1">
      <alignment horizontal="left" shrinkToFit="0" vertical="center" wrapText="1"/>
    </xf>
    <xf borderId="0" fillId="0" fontId="30" numFmtId="0" xfId="0" applyAlignment="1" applyFont="1">
      <alignment horizontal="center" shrinkToFit="0" vertical="center" wrapText="1"/>
    </xf>
    <xf borderId="1" fillId="11" fontId="4" numFmtId="0" xfId="0" applyAlignment="1" applyBorder="1" applyFont="1">
      <alignment horizontal="left" shrinkToFit="0" vertical="center" wrapText="1"/>
    </xf>
    <xf borderId="1" fillId="11" fontId="4" numFmtId="0" xfId="0" applyAlignment="1" applyBorder="1" applyFont="1">
      <alignment horizontal="center" shrinkToFit="0" vertical="center" wrapText="1"/>
    </xf>
    <xf borderId="0" fillId="11" fontId="30" numFmtId="0" xfId="0" applyAlignment="1" applyFont="1">
      <alignment horizontal="left" shrinkToFit="0" vertical="center" wrapText="1"/>
    </xf>
    <xf borderId="0" fillId="11" fontId="30" numFmtId="0" xfId="0" applyAlignment="1" applyFont="1">
      <alignment horizontal="center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3" fontId="10" numFmtId="0" xfId="0" applyAlignment="1" applyBorder="1" applyFont="1">
      <alignment horizontal="left" readingOrder="0" shrinkToFit="0" vertical="center" wrapText="1"/>
    </xf>
    <xf borderId="9" fillId="3" fontId="10" numFmtId="0" xfId="0" applyAlignment="1" applyBorder="1" applyFont="1">
      <alignment horizontal="left" readingOrder="0" shrinkToFit="0" vertical="center" wrapText="1"/>
    </xf>
    <xf borderId="9" fillId="3" fontId="10" numFmtId="0" xfId="0" applyAlignment="1" applyBorder="1" applyFont="1">
      <alignment horizontal="center" readingOrder="0" shrinkToFit="0" vertical="center" wrapText="1"/>
    </xf>
    <xf borderId="1" fillId="3" fontId="10" numFmtId="0" xfId="0" applyAlignment="1" applyBorder="1" applyFont="1">
      <alignment horizontal="center" readingOrder="0" shrinkToFit="0" vertical="center" wrapText="1"/>
    </xf>
    <xf borderId="0" fillId="3" fontId="6" numFmtId="0" xfId="0" applyAlignment="1" applyFont="1">
      <alignment horizontal="left" shrinkToFit="0" vertical="center" wrapText="1"/>
    </xf>
    <xf borderId="0" fillId="0" fontId="31" numFmtId="0" xfId="0" applyAlignment="1" applyFont="1">
      <alignment horizontal="center" readingOrder="0"/>
    </xf>
    <xf borderId="0" fillId="0" fontId="6" numFmtId="0" xfId="0" applyAlignment="1" applyFont="1">
      <alignment vertical="bottom"/>
    </xf>
    <xf borderId="1" fillId="3" fontId="10" numFmtId="0" xfId="0" applyAlignment="1" applyBorder="1" applyFont="1">
      <alignment horizontal="center" shrinkToFit="0" vertical="center" wrapText="1"/>
    </xf>
    <xf borderId="1" fillId="3" fontId="32" numFmtId="0" xfId="0" applyAlignment="1" applyBorder="1" applyFont="1">
      <alignment horizontal="left" shrinkToFit="0" vertical="center" wrapText="1"/>
    </xf>
    <xf borderId="1" fillId="3" fontId="10" numFmtId="0" xfId="0" applyAlignment="1" applyBorder="1" applyFont="1">
      <alignment horizontal="left" shrinkToFit="0" vertical="center" wrapText="1"/>
    </xf>
    <xf borderId="9" fillId="3" fontId="10" numFmtId="0" xfId="0" applyAlignment="1" applyBorder="1" applyFont="1">
      <alignment horizontal="left" shrinkToFit="0" vertical="center" wrapText="1"/>
    </xf>
    <xf borderId="9" fillId="3" fontId="10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left"/>
    </xf>
    <xf borderId="0" fillId="0" fontId="10" numFmtId="0" xfId="0" applyAlignment="1" applyFont="1">
      <alignment horizontal="center"/>
    </xf>
    <xf borderId="9" fillId="3" fontId="32" numFmtId="0" xfId="0" applyAlignment="1" applyBorder="1" applyFont="1">
      <alignment horizontal="left" readingOrder="0" shrinkToFit="0" vertical="center" wrapText="1"/>
    </xf>
    <xf borderId="1" fillId="0" fontId="18" numFmtId="0" xfId="0" applyAlignment="1" applyBorder="1" applyFont="1">
      <alignment horizontal="left" readingOrder="0"/>
    </xf>
    <xf borderId="9" fillId="0" fontId="18" numFmtId="0" xfId="0" applyAlignment="1" applyBorder="1" applyFont="1">
      <alignment horizontal="left" readingOrder="0"/>
    </xf>
    <xf borderId="9" fillId="0" fontId="18" numFmtId="0" xfId="0" applyAlignment="1" applyBorder="1" applyFont="1">
      <alignment horizontal="center" readingOrder="0"/>
    </xf>
    <xf borderId="1" fillId="10" fontId="29" numFmtId="0" xfId="0" applyAlignment="1" applyBorder="1" applyFont="1">
      <alignment horizontal="left" readingOrder="0" shrinkToFit="0" wrapText="1"/>
    </xf>
    <xf borderId="9" fillId="11" fontId="3" numFmtId="0" xfId="0" applyAlignment="1" applyBorder="1" applyFont="1">
      <alignment horizontal="left" shrinkToFit="0" wrapText="1"/>
    </xf>
    <xf borderId="9" fillId="0" fontId="3" numFmtId="0" xfId="0" applyAlignment="1" applyBorder="1" applyFont="1">
      <alignment horizontal="left" readingOrder="0" shrinkToFit="0" wrapText="1"/>
    </xf>
    <xf borderId="9" fillId="11" fontId="3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readingOrder="0" shrinkToFit="0" wrapText="1"/>
    </xf>
    <xf borderId="0" fillId="0" fontId="33" numFmtId="0" xfId="0" applyAlignment="1" applyFont="1">
      <alignment horizontal="left" vertical="center"/>
    </xf>
    <xf borderId="0" fillId="0" fontId="33" numFmtId="0" xfId="0" applyAlignment="1" applyFont="1">
      <alignment horizontal="center" vertical="center"/>
    </xf>
    <xf borderId="1" fillId="11" fontId="3" numFmtId="0" xfId="0" applyAlignment="1" applyBorder="1" applyFont="1">
      <alignment horizontal="left" shrinkToFit="0" wrapText="1"/>
    </xf>
    <xf borderId="9" fillId="11" fontId="3" numFmtId="0" xfId="0" applyAlignment="1" applyBorder="1" applyFont="1">
      <alignment horizontal="left" shrinkToFit="0" wrapText="1"/>
    </xf>
    <xf borderId="9" fillId="11" fontId="3" numFmtId="0" xfId="0" applyAlignment="1" applyBorder="1" applyFont="1">
      <alignment horizontal="center" shrinkToFit="0" wrapText="1"/>
    </xf>
    <xf borderId="1" fillId="11" fontId="3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left" shrinkToFit="0" wrapText="1"/>
    </xf>
    <xf borderId="9" fillId="3" fontId="34" numFmtId="0" xfId="0" applyAlignment="1" applyBorder="1" applyFont="1">
      <alignment horizontal="center" readingOrder="0"/>
    </xf>
    <xf borderId="1" fillId="3" fontId="34" numFmtId="0" xfId="0" applyAlignment="1" applyBorder="1" applyFont="1">
      <alignment horizontal="center" readingOrder="0"/>
    </xf>
    <xf borderId="1" fillId="3" fontId="6" numFmtId="0" xfId="0" applyAlignment="1" applyBorder="1" applyFont="1">
      <alignment horizontal="left"/>
    </xf>
    <xf borderId="9" fillId="3" fontId="6" numFmtId="0" xfId="0" applyAlignment="1" applyBorder="1" applyFont="1">
      <alignment horizontal="left"/>
    </xf>
    <xf borderId="9" fillId="3" fontId="6" numFmtId="0" xfId="0" applyAlignment="1" applyBorder="1" applyFont="1">
      <alignment horizontal="center"/>
    </xf>
    <xf borderId="1" fillId="3" fontId="6" numFmtId="0" xfId="0" applyAlignment="1" applyBorder="1" applyFont="1">
      <alignment horizontal="center"/>
    </xf>
    <xf borderId="0" fillId="0" fontId="18" numFmtId="0" xfId="0" applyAlignment="1" applyFont="1">
      <alignment horizontal="center"/>
    </xf>
    <xf borderId="1" fillId="0" fontId="18" numFmtId="0" xfId="0" applyAlignment="1" applyBorder="1" applyFont="1">
      <alignment horizontal="center" readingOrder="0"/>
    </xf>
    <xf borderId="9" fillId="0" fontId="18" numFmtId="164" xfId="0" applyAlignment="1" applyBorder="1" applyFont="1" applyNumberFormat="1">
      <alignment horizontal="center" readingOrder="0"/>
    </xf>
    <xf borderId="0" fillId="0" fontId="18" numFmtId="164" xfId="0" applyAlignment="1" applyFont="1" applyNumberFormat="1">
      <alignment readingOrder="0"/>
    </xf>
    <xf borderId="9" fillId="2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6" numFmtId="0" xfId="0" applyAlignment="1" applyFont="1">
      <alignment horizontal="center" vertical="center"/>
    </xf>
    <xf borderId="9" fillId="0" fontId="10" numFmtId="0" xfId="0" applyAlignment="1" applyBorder="1" applyFont="1">
      <alignment readingOrder="0" shrinkToFit="0" wrapText="1"/>
    </xf>
    <xf borderId="9" fillId="0" fontId="35" numFmtId="0" xfId="0" applyAlignment="1" applyBorder="1" applyFont="1">
      <alignment readingOrder="0"/>
    </xf>
    <xf borderId="9" fillId="7" fontId="20" numFmtId="0" xfId="0" applyAlignment="1" applyBorder="1" applyFont="1">
      <alignment horizontal="center" vertical="center"/>
    </xf>
    <xf borderId="0" fillId="0" fontId="28" numFmtId="0" xfId="0" applyAlignment="1" applyFont="1">
      <alignment horizontal="center" vertical="center"/>
    </xf>
    <xf borderId="1" fillId="10" fontId="29" numFmtId="0" xfId="0" applyAlignment="1" applyBorder="1" applyFont="1">
      <alignment horizontal="center" shrinkToFit="0" vertical="center" wrapText="1"/>
    </xf>
    <xf borderId="9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18" numFmtId="0" xfId="0" applyAlignment="1" applyBorder="1" applyFont="1">
      <alignment readingOrder="0"/>
    </xf>
    <xf borderId="9" fillId="0" fontId="18" numFmtId="0" xfId="0" applyAlignment="1" applyBorder="1" applyFont="1">
      <alignment readingOrder="0"/>
    </xf>
    <xf borderId="1" fillId="0" fontId="18" numFmtId="0" xfId="0" applyBorder="1" applyFont="1"/>
    <xf borderId="0" fillId="0" fontId="18" numFmtId="0" xfId="0" applyFont="1"/>
    <xf borderId="0" fillId="0" fontId="10" numFmtId="0" xfId="0" applyFont="1"/>
    <xf borderId="9" fillId="3" fontId="32" numFmtId="0" xfId="0" applyAlignment="1" applyBorder="1" applyFont="1">
      <alignment horizontal="center" readingOrder="0" shrinkToFit="0" vertical="center" wrapText="1"/>
    </xf>
    <xf borderId="0" fillId="0" fontId="26" numFmtId="0" xfId="0" applyAlignment="1" applyFont="1">
      <alignment horizontal="center" shrinkToFit="0" vertical="center" wrapText="1"/>
    </xf>
    <xf borderId="1" fillId="0" fontId="6" numFmtId="0" xfId="0" applyAlignment="1" applyBorder="1" applyFont="1">
      <alignment vertical="bottom"/>
    </xf>
    <xf borderId="9" fillId="0" fontId="6" numFmtId="0" xfId="0" applyAlignment="1" applyBorder="1" applyFont="1">
      <alignment vertical="bottom"/>
    </xf>
    <xf borderId="1" fillId="10" fontId="29" numFmtId="0" xfId="0" applyAlignment="1" applyBorder="1" applyFont="1">
      <alignment horizontal="center" readingOrder="0" shrinkToFit="0" vertical="center" wrapText="1"/>
    </xf>
    <xf borderId="1" fillId="0" fontId="18" numFmtId="0" xfId="0" applyBorder="1" applyFont="1"/>
    <xf borderId="0" fillId="0" fontId="29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32" numFmtId="0" xfId="0" applyAlignment="1" applyFont="1">
      <alignment horizontal="center" shrinkToFit="0" vertical="center" wrapText="1"/>
    </xf>
    <xf borderId="0" fillId="0" fontId="32" numFmtId="0" xfId="0" applyAlignment="1" applyFont="1">
      <alignment horizontal="left" shrinkToFit="0" vertical="center" wrapText="1"/>
    </xf>
    <xf borderId="0" fillId="0" fontId="10" numFmtId="0" xfId="0" applyAlignment="1" applyFont="1">
      <alignment horizontal="left" shrinkToFit="0" vertical="center" wrapText="1"/>
    </xf>
    <xf borderId="12" fillId="4" fontId="7" numFmtId="0" xfId="0" applyAlignment="1" applyBorder="1" applyFont="1">
      <alignment horizontal="center" shrinkToFit="0" vertical="center" wrapText="1"/>
    </xf>
    <xf borderId="13" fillId="4" fontId="7" numFmtId="0" xfId="0" applyAlignment="1" applyBorder="1" applyFont="1">
      <alignment horizontal="center" shrinkToFit="0" vertical="center" wrapText="1"/>
    </xf>
    <xf borderId="14" fillId="0" fontId="8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9" fillId="0" fontId="36" numFmtId="0" xfId="0" applyAlignment="1" applyBorder="1" applyFont="1">
      <alignment horizontal="center" readingOrder="0" shrinkToFit="0" vertical="center" wrapText="1"/>
    </xf>
    <xf borderId="9" fillId="0" fontId="37" numFmtId="0" xfId="0" applyAlignment="1" applyBorder="1" applyFont="1">
      <alignment horizontal="center" readingOrder="0" vertical="center"/>
    </xf>
    <xf borderId="9" fillId="0" fontId="24" numFmtId="0" xfId="0" applyAlignment="1" applyBorder="1" applyFont="1">
      <alignment horizontal="left" readingOrder="0" shrinkToFit="0" vertical="center" wrapText="1"/>
    </xf>
    <xf borderId="9" fillId="0" fontId="38" numFmtId="0" xfId="0" applyAlignment="1" applyBorder="1" applyFont="1">
      <alignment horizontal="center" readingOrder="0" shrinkToFit="0" vertical="center" wrapText="1"/>
    </xf>
    <xf borderId="9" fillId="0" fontId="39" numFmtId="0" xfId="0" applyAlignment="1" applyBorder="1" applyFont="1">
      <alignment readingOrder="0" vertical="center"/>
    </xf>
    <xf borderId="9" fillId="0" fontId="38" numFmtId="0" xfId="0" applyAlignment="1" applyBorder="1" applyFont="1">
      <alignment horizontal="center" shrinkToFit="0" vertical="center" wrapText="1"/>
    </xf>
    <xf borderId="9" fillId="0" fontId="39" numFmtId="0" xfId="0" applyAlignment="1" applyBorder="1" applyFont="1">
      <alignment vertical="center"/>
    </xf>
    <xf borderId="9" fillId="0" fontId="24" numFmtId="0" xfId="0" applyAlignment="1" applyBorder="1" applyFont="1">
      <alignment horizontal="left" shrinkToFit="0" vertical="center" wrapText="1"/>
    </xf>
    <xf borderId="9" fillId="0" fontId="38" numFmtId="0" xfId="0" applyAlignment="1" applyBorder="1" applyFont="1">
      <alignment horizontal="left" shrinkToFit="0" vertical="center" wrapText="1"/>
    </xf>
    <xf borderId="1" fillId="10" fontId="40" numFmtId="0" xfId="0" applyAlignment="1" applyBorder="1" applyFont="1">
      <alignment horizontal="center" shrinkToFit="0" vertical="center" wrapText="1"/>
    </xf>
    <xf borderId="9" fillId="11" fontId="7" numFmtId="0" xfId="0" applyAlignment="1" applyBorder="1" applyFont="1">
      <alignment horizontal="center" shrinkToFit="0" vertical="center" wrapText="1"/>
    </xf>
    <xf borderId="9" fillId="3" fontId="41" numFmtId="0" xfId="0" applyAlignment="1" applyBorder="1" applyFont="1">
      <alignment horizontal="center" shrinkToFit="0" vertical="center" wrapText="1"/>
    </xf>
    <xf borderId="9" fillId="0" fontId="42" numFmtId="0" xfId="0" applyAlignment="1" applyBorder="1" applyFont="1">
      <alignment horizontal="center" shrinkToFit="0" vertical="center" wrapText="1"/>
    </xf>
    <xf borderId="1" fillId="11" fontId="7" numFmtId="0" xfId="0" applyAlignment="1" applyBorder="1" applyFont="1">
      <alignment horizontal="center" shrinkToFit="0" vertical="center" wrapText="1"/>
    </xf>
    <xf borderId="1" fillId="3" fontId="43" numFmtId="0" xfId="0" applyAlignment="1" applyBorder="1" applyFont="1">
      <alignment horizontal="center" readingOrder="0" shrinkToFit="0" vertical="center" wrapText="1"/>
    </xf>
    <xf borderId="1" fillId="3" fontId="6" numFmtId="0" xfId="0" applyAlignment="1" applyBorder="1" applyFont="1">
      <alignment horizontal="left" readingOrder="0" shrinkToFit="0" vertical="center" wrapText="1"/>
    </xf>
    <xf borderId="9" fillId="3" fontId="6" numFmtId="0" xfId="0" applyAlignment="1" applyBorder="1" applyFont="1">
      <alignment horizontal="left" readingOrder="0" shrinkToFit="0" vertical="center" wrapText="1"/>
    </xf>
    <xf borderId="9" fillId="3" fontId="6" numFmtId="0" xfId="0" applyAlignment="1" applyBorder="1" applyFont="1">
      <alignment horizontal="left" shrinkToFit="0" vertical="center" wrapText="1"/>
    </xf>
    <xf borderId="9" fillId="3" fontId="44" numFmtId="0" xfId="0" applyAlignment="1" applyBorder="1" applyFont="1">
      <alignment horizontal="left" readingOrder="0" shrinkToFit="0" vertical="center" wrapText="1"/>
    </xf>
    <xf borderId="10" fillId="3" fontId="6" numFmtId="0" xfId="0" applyAlignment="1" applyBorder="1" applyFont="1">
      <alignment horizontal="left" shrinkToFit="0" vertical="center" wrapText="1"/>
    </xf>
    <xf borderId="11" fillId="3" fontId="6" numFmtId="0" xfId="0" applyAlignment="1" applyBorder="1" applyFont="1">
      <alignment horizontal="left" shrinkToFit="0" vertical="center" wrapText="1"/>
    </xf>
    <xf borderId="1" fillId="3" fontId="6" numFmtId="0" xfId="0" applyAlignment="1" applyBorder="1" applyFont="1">
      <alignment horizontal="left" shrinkToFit="0" vertical="center" wrapText="1"/>
    </xf>
    <xf borderId="1" fillId="3" fontId="32" numFmtId="0" xfId="0" applyAlignment="1" applyBorder="1" applyFont="1">
      <alignment horizontal="center" readingOrder="0" shrinkToFit="0" vertical="center" wrapText="1"/>
    </xf>
    <xf borderId="1" fillId="10" fontId="40" numFmtId="0" xfId="0" applyAlignment="1" applyBorder="1" applyFont="1">
      <alignment horizontal="center" readingOrder="0" shrinkToFit="0" vertical="center" wrapText="1"/>
    </xf>
    <xf borderId="0" fillId="0" fontId="3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ENTIDAD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133350</xdr:colOff>
      <xdr:row>3</xdr:row>
      <xdr:rowOff>-85725</xdr:rowOff>
    </xdr:from>
    <xdr:ext cx="14401800" cy="10906125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E25" displayName="Tabla_1" name="Tabla_1" id="1">
  <tableColumns count="5">
    <tableColumn name="#" id="1"/>
    <tableColumn name="Nombre Entidad" id="2"/>
    <tableColumn name="Descripción Entidad" id="3"/>
    <tableColumn name="Observaciones" id="4"/>
    <tableColumn name="Tipo" id="5"/>
  </tableColumns>
  <tableStyleInfo name="ENTIDAD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9.0"/>
    <col customWidth="1" min="3" max="3" width="49.5"/>
    <col customWidth="1" min="4" max="4" width="60.88"/>
    <col customWidth="1" min="5" max="5" width="23.38"/>
  </cols>
  <sheetData>
    <row r="1" ht="15.75" customHeight="1">
      <c r="A1" s="1" t="s">
        <v>0</v>
      </c>
      <c r="E1" s="1"/>
      <c r="F1" s="2"/>
      <c r="G1" s="2"/>
      <c r="H1" s="2"/>
      <c r="I1" s="2"/>
      <c r="J1" s="2"/>
    </row>
    <row r="2" ht="21.75" customHeight="1">
      <c r="A2" s="3"/>
      <c r="B2" s="3"/>
      <c r="C2" s="3"/>
      <c r="D2" s="3"/>
      <c r="E2" s="3"/>
    </row>
    <row r="3" ht="21.7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ht="33.0" customHeight="1">
      <c r="A4" s="5">
        <v>1.0</v>
      </c>
      <c r="B4" s="6" t="s">
        <v>6</v>
      </c>
      <c r="C4" s="7" t="s">
        <v>7</v>
      </c>
      <c r="D4" s="7" t="s">
        <v>8</v>
      </c>
      <c r="E4" s="8" t="s">
        <v>9</v>
      </c>
    </row>
    <row r="5" ht="32.25" customHeight="1">
      <c r="A5" s="5">
        <f t="shared" ref="A5:A25" si="1">A4+1</f>
        <v>2</v>
      </c>
      <c r="B5" s="9" t="s">
        <v>10</v>
      </c>
      <c r="C5" s="7" t="s">
        <v>11</v>
      </c>
      <c r="D5" s="7" t="s">
        <v>12</v>
      </c>
      <c r="E5" s="9" t="s">
        <v>9</v>
      </c>
    </row>
    <row r="6" ht="28.5" customHeight="1">
      <c r="A6" s="5">
        <f t="shared" si="1"/>
        <v>3</v>
      </c>
      <c r="B6" s="9" t="s">
        <v>13</v>
      </c>
      <c r="C6" s="7" t="s">
        <v>14</v>
      </c>
      <c r="D6" s="7" t="s">
        <v>15</v>
      </c>
      <c r="E6" s="9" t="s">
        <v>9</v>
      </c>
      <c r="I6" s="10">
        <v>10.0</v>
      </c>
    </row>
    <row r="7" ht="33.0" customHeight="1">
      <c r="A7" s="5">
        <f t="shared" si="1"/>
        <v>4</v>
      </c>
      <c r="B7" s="9" t="s">
        <v>16</v>
      </c>
      <c r="C7" s="7" t="s">
        <v>17</v>
      </c>
      <c r="D7" s="7" t="s">
        <v>18</v>
      </c>
      <c r="E7" s="9" t="s">
        <v>19</v>
      </c>
      <c r="I7" s="10">
        <v>30.0</v>
      </c>
    </row>
    <row r="8" ht="33.75" customHeight="1">
      <c r="A8" s="5">
        <f t="shared" si="1"/>
        <v>5</v>
      </c>
      <c r="B8" s="9" t="s">
        <v>20</v>
      </c>
      <c r="C8" s="7" t="s">
        <v>21</v>
      </c>
      <c r="D8" s="7" t="s">
        <v>22</v>
      </c>
      <c r="E8" s="9" t="s">
        <v>19</v>
      </c>
      <c r="I8" s="10">
        <v>30.0</v>
      </c>
    </row>
    <row r="9" ht="42.0" customHeight="1">
      <c r="A9" s="5">
        <f t="shared" si="1"/>
        <v>6</v>
      </c>
      <c r="B9" s="9" t="s">
        <v>23</v>
      </c>
      <c r="C9" s="7" t="s">
        <v>24</v>
      </c>
      <c r="D9" s="7" t="s">
        <v>25</v>
      </c>
      <c r="E9" s="9" t="s">
        <v>19</v>
      </c>
      <c r="I9" s="10">
        <v>20.0</v>
      </c>
    </row>
    <row r="10" ht="33.75" customHeight="1">
      <c r="A10" s="5">
        <f t="shared" si="1"/>
        <v>7</v>
      </c>
      <c r="B10" s="9" t="s">
        <v>26</v>
      </c>
      <c r="C10" s="7" t="s">
        <v>27</v>
      </c>
      <c r="D10" s="7" t="s">
        <v>28</v>
      </c>
      <c r="E10" s="9" t="s">
        <v>19</v>
      </c>
      <c r="I10" s="10">
        <v>10.0</v>
      </c>
    </row>
    <row r="11" ht="33.0" customHeight="1">
      <c r="A11" s="5">
        <f t="shared" si="1"/>
        <v>8</v>
      </c>
      <c r="B11" s="9" t="s">
        <v>29</v>
      </c>
      <c r="C11" s="7" t="s">
        <v>30</v>
      </c>
      <c r="D11" s="7" t="s">
        <v>31</v>
      </c>
      <c r="E11" s="9" t="s">
        <v>19</v>
      </c>
      <c r="I11" s="10">
        <v>10.0</v>
      </c>
    </row>
    <row r="12" ht="32.25" customHeight="1">
      <c r="A12" s="5">
        <f t="shared" si="1"/>
        <v>9</v>
      </c>
      <c r="B12" s="9" t="s">
        <v>32</v>
      </c>
      <c r="C12" s="7" t="s">
        <v>33</v>
      </c>
      <c r="D12" s="7" t="s">
        <v>34</v>
      </c>
      <c r="E12" s="9" t="s">
        <v>9</v>
      </c>
      <c r="I12" s="10">
        <v>20.0</v>
      </c>
    </row>
    <row r="13" ht="36.75" customHeight="1">
      <c r="A13" s="5">
        <f t="shared" si="1"/>
        <v>10</v>
      </c>
      <c r="B13" s="11" t="s">
        <v>35</v>
      </c>
      <c r="C13" s="12" t="s">
        <v>36</v>
      </c>
      <c r="D13" s="12" t="s">
        <v>37</v>
      </c>
      <c r="E13" s="11" t="s">
        <v>19</v>
      </c>
      <c r="I13" s="10">
        <v>20.0</v>
      </c>
    </row>
    <row r="14" ht="27.75" customHeight="1">
      <c r="A14" s="5">
        <f t="shared" si="1"/>
        <v>11</v>
      </c>
      <c r="B14" s="11" t="s">
        <v>38</v>
      </c>
      <c r="C14" s="12" t="s">
        <v>39</v>
      </c>
      <c r="D14" s="12" t="s">
        <v>40</v>
      </c>
      <c r="E14" s="11" t="s">
        <v>19</v>
      </c>
      <c r="I14" s="10">
        <v>100.0</v>
      </c>
    </row>
    <row r="15" ht="32.25" customHeight="1">
      <c r="A15" s="5">
        <f t="shared" si="1"/>
        <v>12</v>
      </c>
      <c r="B15" s="11" t="s">
        <v>41</v>
      </c>
      <c r="C15" s="12" t="s">
        <v>42</v>
      </c>
      <c r="D15" s="12" t="s">
        <v>43</v>
      </c>
      <c r="E15" s="11" t="s">
        <v>9</v>
      </c>
      <c r="I15" s="10">
        <v>20.0</v>
      </c>
    </row>
    <row r="16" ht="33.0" customHeight="1">
      <c r="A16" s="5">
        <f t="shared" si="1"/>
        <v>13</v>
      </c>
      <c r="B16" s="11" t="s">
        <v>44</v>
      </c>
      <c r="C16" s="12" t="s">
        <v>45</v>
      </c>
      <c r="D16" s="12" t="s">
        <v>46</v>
      </c>
      <c r="E16" s="11" t="s">
        <v>19</v>
      </c>
      <c r="I16" s="13">
        <f>SUM(I6:I15)</f>
        <v>270</v>
      </c>
    </row>
    <row r="17" ht="22.5" customHeight="1">
      <c r="A17" s="5">
        <f t="shared" si="1"/>
        <v>14</v>
      </c>
      <c r="B17" s="11" t="s">
        <v>47</v>
      </c>
      <c r="C17" s="12" t="s">
        <v>48</v>
      </c>
      <c r="D17" s="12" t="s">
        <v>49</v>
      </c>
      <c r="E17" s="11" t="s">
        <v>9</v>
      </c>
    </row>
    <row r="18" ht="22.5" customHeight="1">
      <c r="A18" s="5">
        <f t="shared" si="1"/>
        <v>15</v>
      </c>
      <c r="B18" s="14"/>
      <c r="C18" s="15"/>
      <c r="D18" s="15"/>
      <c r="E18" s="15"/>
    </row>
    <row r="19" ht="22.5" customHeight="1">
      <c r="A19" s="5">
        <f t="shared" si="1"/>
        <v>16</v>
      </c>
      <c r="B19" s="14"/>
      <c r="C19" s="15"/>
      <c r="D19" s="15"/>
      <c r="E19" s="15"/>
    </row>
    <row r="20" ht="22.5" customHeight="1">
      <c r="A20" s="5">
        <f t="shared" si="1"/>
        <v>17</v>
      </c>
      <c r="B20" s="14"/>
      <c r="C20" s="15"/>
      <c r="D20" s="15"/>
      <c r="E20" s="15"/>
    </row>
    <row r="21" ht="22.5" customHeight="1">
      <c r="A21" s="5">
        <f t="shared" si="1"/>
        <v>18</v>
      </c>
      <c r="B21" s="15"/>
      <c r="C21" s="15"/>
      <c r="D21" s="15"/>
      <c r="E21" s="15"/>
    </row>
    <row r="22" ht="22.5" customHeight="1">
      <c r="A22" s="5">
        <f t="shared" si="1"/>
        <v>19</v>
      </c>
      <c r="B22" s="15"/>
      <c r="C22" s="15"/>
      <c r="D22" s="15"/>
      <c r="E22" s="15"/>
    </row>
    <row r="23" ht="22.5" customHeight="1">
      <c r="A23" s="5">
        <f t="shared" si="1"/>
        <v>20</v>
      </c>
      <c r="B23" s="15"/>
      <c r="C23" s="15"/>
      <c r="D23" s="15"/>
      <c r="E23" s="15"/>
    </row>
    <row r="24" ht="22.5" customHeight="1">
      <c r="A24" s="5">
        <f t="shared" si="1"/>
        <v>21</v>
      </c>
      <c r="B24" s="15"/>
      <c r="C24" s="15"/>
      <c r="D24" s="15"/>
      <c r="E24" s="15"/>
    </row>
    <row r="25" ht="22.5" customHeight="1">
      <c r="A25" s="5">
        <f t="shared" si="1"/>
        <v>22</v>
      </c>
      <c r="B25" s="15"/>
      <c r="C25" s="15"/>
      <c r="D25" s="15"/>
      <c r="E25" s="15"/>
    </row>
    <row r="26" ht="22.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D1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38"/>
    <col customWidth="1" min="2" max="2" width="36.5"/>
    <col customWidth="1" min="3" max="3" width="45.13"/>
    <col customWidth="1" min="4" max="4" width="11.75"/>
    <col customWidth="1" min="5" max="5" width="16.75"/>
    <col customWidth="1" min="6" max="6" width="7.25"/>
    <col customWidth="1" min="7" max="7" width="7.88"/>
    <col customWidth="1" min="8" max="8" width="7.75"/>
  </cols>
  <sheetData>
    <row r="1" ht="15.75" customHeight="1">
      <c r="A1" s="1"/>
      <c r="J1" s="2"/>
    </row>
    <row r="2" ht="25.5" customHeight="1">
      <c r="A2" s="16" t="s">
        <v>1</v>
      </c>
      <c r="B2" s="16" t="s">
        <v>50</v>
      </c>
      <c r="C2" s="16" t="s">
        <v>51</v>
      </c>
      <c r="D2" s="17" t="s">
        <v>52</v>
      </c>
      <c r="E2" s="18"/>
      <c r="F2" s="17" t="s">
        <v>53</v>
      </c>
      <c r="G2" s="18"/>
      <c r="H2" s="16" t="s">
        <v>54</v>
      </c>
      <c r="I2" s="16" t="s">
        <v>55</v>
      </c>
    </row>
    <row r="3" ht="27.0" customHeight="1">
      <c r="A3" s="19">
        <v>1.0</v>
      </c>
      <c r="B3" s="20" t="s">
        <v>56</v>
      </c>
      <c r="C3" s="21" t="s">
        <v>57</v>
      </c>
      <c r="D3" s="22" t="s">
        <v>58</v>
      </c>
      <c r="E3" s="23" t="s">
        <v>6</v>
      </c>
      <c r="F3" s="22" t="s">
        <v>59</v>
      </c>
      <c r="G3" s="24" t="s">
        <v>60</v>
      </c>
      <c r="H3" s="25" t="s">
        <v>61</v>
      </c>
      <c r="I3" s="26" t="s">
        <v>62</v>
      </c>
    </row>
    <row r="4" ht="20.25" customHeight="1">
      <c r="A4" s="27"/>
      <c r="B4" s="27"/>
      <c r="C4" s="27"/>
      <c r="D4" s="22" t="s">
        <v>63</v>
      </c>
      <c r="E4" s="23" t="s">
        <v>10</v>
      </c>
      <c r="F4" s="22" t="s">
        <v>64</v>
      </c>
      <c r="G4" s="24" t="s">
        <v>65</v>
      </c>
      <c r="H4" s="27"/>
      <c r="I4" s="27"/>
    </row>
    <row r="5" ht="18.75" customHeight="1">
      <c r="A5" s="19">
        <v>2.0</v>
      </c>
      <c r="B5" s="28" t="s">
        <v>66</v>
      </c>
      <c r="C5" s="21" t="s">
        <v>67</v>
      </c>
      <c r="D5" s="22" t="s">
        <v>58</v>
      </c>
      <c r="E5" s="29" t="s">
        <v>6</v>
      </c>
      <c r="F5" s="22" t="s">
        <v>59</v>
      </c>
      <c r="G5" s="30" t="s">
        <v>60</v>
      </c>
      <c r="H5" s="31" t="s">
        <v>61</v>
      </c>
      <c r="I5" s="26" t="s">
        <v>62</v>
      </c>
    </row>
    <row r="6" ht="18.75" customHeight="1">
      <c r="A6" s="27"/>
      <c r="B6" s="27"/>
      <c r="C6" s="27"/>
      <c r="D6" s="22" t="s">
        <v>63</v>
      </c>
      <c r="E6" s="29" t="s">
        <v>13</v>
      </c>
      <c r="F6" s="22" t="s">
        <v>64</v>
      </c>
      <c r="G6" s="30" t="s">
        <v>65</v>
      </c>
      <c r="H6" s="27"/>
      <c r="I6" s="27"/>
    </row>
    <row r="7" ht="18.75" customHeight="1">
      <c r="A7" s="19">
        <v>3.0</v>
      </c>
      <c r="B7" s="28" t="s">
        <v>68</v>
      </c>
      <c r="C7" s="21" t="s">
        <v>69</v>
      </c>
      <c r="D7" s="22" t="s">
        <v>58</v>
      </c>
      <c r="E7" s="29" t="s">
        <v>6</v>
      </c>
      <c r="F7" s="22" t="s">
        <v>59</v>
      </c>
      <c r="G7" s="30" t="s">
        <v>60</v>
      </c>
      <c r="H7" s="31" t="s">
        <v>61</v>
      </c>
      <c r="I7" s="26" t="s">
        <v>62</v>
      </c>
    </row>
    <row r="8" ht="18.75" customHeight="1">
      <c r="A8" s="27"/>
      <c r="B8" s="27"/>
      <c r="C8" s="27"/>
      <c r="D8" s="22" t="s">
        <v>63</v>
      </c>
      <c r="E8" s="29" t="s">
        <v>38</v>
      </c>
      <c r="F8" s="22" t="s">
        <v>64</v>
      </c>
      <c r="G8" s="30" t="s">
        <v>65</v>
      </c>
      <c r="H8" s="27"/>
      <c r="I8" s="27"/>
    </row>
    <row r="9" ht="18.75" customHeight="1">
      <c r="A9" s="19">
        <v>4.0</v>
      </c>
      <c r="B9" s="28" t="s">
        <v>70</v>
      </c>
      <c r="C9" s="21" t="s">
        <v>71</v>
      </c>
      <c r="D9" s="22" t="s">
        <v>58</v>
      </c>
      <c r="E9" s="29" t="s">
        <v>6</v>
      </c>
      <c r="F9" s="22" t="s">
        <v>59</v>
      </c>
      <c r="G9" s="30" t="s">
        <v>60</v>
      </c>
      <c r="H9" s="31" t="s">
        <v>61</v>
      </c>
      <c r="I9" s="26" t="s">
        <v>62</v>
      </c>
    </row>
    <row r="10" ht="18.75" customHeight="1">
      <c r="A10" s="27"/>
      <c r="B10" s="27"/>
      <c r="C10" s="27"/>
      <c r="D10" s="22" t="s">
        <v>63</v>
      </c>
      <c r="E10" s="29" t="s">
        <v>32</v>
      </c>
      <c r="F10" s="22" t="s">
        <v>64</v>
      </c>
      <c r="G10" s="30" t="s">
        <v>65</v>
      </c>
      <c r="H10" s="27"/>
      <c r="I10" s="27"/>
    </row>
    <row r="11" ht="18.75" customHeight="1">
      <c r="A11" s="19">
        <v>5.0</v>
      </c>
      <c r="B11" s="28" t="s">
        <v>72</v>
      </c>
      <c r="C11" s="21" t="s">
        <v>73</v>
      </c>
      <c r="D11" s="22" t="s">
        <v>58</v>
      </c>
      <c r="E11" s="29" t="s">
        <v>13</v>
      </c>
      <c r="F11" s="22" t="s">
        <v>59</v>
      </c>
      <c r="G11" s="30" t="s">
        <v>65</v>
      </c>
      <c r="H11" s="31" t="s">
        <v>61</v>
      </c>
      <c r="I11" s="26" t="s">
        <v>62</v>
      </c>
    </row>
    <row r="12" ht="18.75" customHeight="1">
      <c r="A12" s="27"/>
      <c r="B12" s="27"/>
      <c r="C12" s="27"/>
      <c r="D12" s="22" t="s">
        <v>63</v>
      </c>
      <c r="E12" s="29" t="s">
        <v>47</v>
      </c>
      <c r="F12" s="22" t="s">
        <v>64</v>
      </c>
      <c r="G12" s="30" t="s">
        <v>65</v>
      </c>
      <c r="H12" s="27"/>
      <c r="I12" s="27"/>
    </row>
    <row r="13" ht="18.75" customHeight="1">
      <c r="A13" s="19">
        <v>6.0</v>
      </c>
      <c r="B13" s="28" t="s">
        <v>74</v>
      </c>
      <c r="C13" s="21" t="s">
        <v>75</v>
      </c>
      <c r="D13" s="22" t="s">
        <v>58</v>
      </c>
      <c r="E13" s="29" t="s">
        <v>47</v>
      </c>
      <c r="F13" s="22" t="s">
        <v>59</v>
      </c>
      <c r="G13" s="30" t="s">
        <v>65</v>
      </c>
      <c r="H13" s="31" t="s">
        <v>61</v>
      </c>
      <c r="I13" s="26" t="s">
        <v>62</v>
      </c>
    </row>
    <row r="14" ht="18.75" customHeight="1">
      <c r="A14" s="27"/>
      <c r="B14" s="27"/>
      <c r="C14" s="27"/>
      <c r="D14" s="22" t="s">
        <v>63</v>
      </c>
      <c r="E14" s="29" t="s">
        <v>16</v>
      </c>
      <c r="F14" s="22" t="s">
        <v>64</v>
      </c>
      <c r="G14" s="30" t="s">
        <v>60</v>
      </c>
      <c r="H14" s="27"/>
      <c r="I14" s="27"/>
    </row>
    <row r="15" ht="18.75" customHeight="1">
      <c r="A15" s="19">
        <v>7.0</v>
      </c>
      <c r="B15" s="28" t="s">
        <v>76</v>
      </c>
      <c r="C15" s="21" t="s">
        <v>77</v>
      </c>
      <c r="D15" s="22" t="s">
        <v>58</v>
      </c>
      <c r="E15" s="29" t="s">
        <v>16</v>
      </c>
      <c r="F15" s="22" t="s">
        <v>59</v>
      </c>
      <c r="G15" s="30" t="s">
        <v>60</v>
      </c>
      <c r="H15" s="31" t="s">
        <v>62</v>
      </c>
      <c r="I15" s="26" t="s">
        <v>61</v>
      </c>
    </row>
    <row r="16" ht="18.75" customHeight="1">
      <c r="A16" s="27"/>
      <c r="B16" s="27"/>
      <c r="C16" s="27"/>
      <c r="D16" s="22" t="s">
        <v>63</v>
      </c>
      <c r="E16" s="29" t="s">
        <v>20</v>
      </c>
      <c r="F16" s="22" t="s">
        <v>64</v>
      </c>
      <c r="G16" s="30" t="s">
        <v>60</v>
      </c>
      <c r="H16" s="27"/>
      <c r="I16" s="27"/>
    </row>
    <row r="17" ht="18.75" customHeight="1">
      <c r="A17" s="19">
        <v>8.0</v>
      </c>
      <c r="B17" s="28" t="s">
        <v>78</v>
      </c>
      <c r="C17" s="21" t="s">
        <v>79</v>
      </c>
      <c r="D17" s="22" t="s">
        <v>58</v>
      </c>
      <c r="E17" s="29" t="s">
        <v>16</v>
      </c>
      <c r="F17" s="22" t="s">
        <v>59</v>
      </c>
      <c r="G17" s="30" t="s">
        <v>60</v>
      </c>
      <c r="H17" s="31" t="s">
        <v>61</v>
      </c>
      <c r="I17" s="26" t="s">
        <v>62</v>
      </c>
    </row>
    <row r="18" ht="18.75" customHeight="1">
      <c r="A18" s="27"/>
      <c r="B18" s="27"/>
      <c r="C18" s="27"/>
      <c r="D18" s="22" t="s">
        <v>63</v>
      </c>
      <c r="E18" s="29" t="s">
        <v>26</v>
      </c>
      <c r="F18" s="22" t="s">
        <v>64</v>
      </c>
      <c r="G18" s="30" t="s">
        <v>65</v>
      </c>
      <c r="H18" s="27"/>
      <c r="I18" s="27"/>
    </row>
    <row r="19" ht="18.75" customHeight="1">
      <c r="A19" s="19">
        <v>9.0</v>
      </c>
      <c r="B19" s="28" t="s">
        <v>80</v>
      </c>
      <c r="C19" s="21" t="s">
        <v>81</v>
      </c>
      <c r="D19" s="22" t="s">
        <v>58</v>
      </c>
      <c r="E19" s="29" t="s">
        <v>26</v>
      </c>
      <c r="F19" s="22" t="s">
        <v>59</v>
      </c>
      <c r="G19" s="30" t="s">
        <v>60</v>
      </c>
      <c r="H19" s="31" t="s">
        <v>61</v>
      </c>
      <c r="I19" s="26" t="s">
        <v>62</v>
      </c>
    </row>
    <row r="20" ht="18.75" customHeight="1">
      <c r="A20" s="27"/>
      <c r="B20" s="27"/>
      <c r="C20" s="27"/>
      <c r="D20" s="22" t="s">
        <v>63</v>
      </c>
      <c r="E20" s="29" t="s">
        <v>82</v>
      </c>
      <c r="F20" s="22" t="s">
        <v>64</v>
      </c>
      <c r="G20" s="30" t="s">
        <v>65</v>
      </c>
      <c r="H20" s="27"/>
      <c r="I20" s="27"/>
    </row>
    <row r="21" ht="18.75" customHeight="1">
      <c r="A21" s="19">
        <v>10.0</v>
      </c>
      <c r="B21" s="32"/>
      <c r="C21" s="32"/>
      <c r="D21" s="22" t="s">
        <v>58</v>
      </c>
      <c r="E21" s="33"/>
      <c r="F21" s="22" t="s">
        <v>59</v>
      </c>
      <c r="G21" s="34"/>
      <c r="H21" s="35"/>
      <c r="I21" s="36"/>
    </row>
    <row r="22" ht="18.75" customHeight="1">
      <c r="A22" s="27"/>
      <c r="B22" s="27"/>
      <c r="C22" s="27"/>
      <c r="D22" s="22" t="s">
        <v>63</v>
      </c>
      <c r="E22" s="33"/>
      <c r="F22" s="22" t="s">
        <v>64</v>
      </c>
      <c r="G22" s="34"/>
      <c r="H22" s="27"/>
      <c r="I22" s="27"/>
    </row>
    <row r="23" ht="18.75" customHeight="1">
      <c r="A23" s="19">
        <v>11.0</v>
      </c>
      <c r="B23" s="32"/>
      <c r="C23" s="32"/>
      <c r="D23" s="22" t="s">
        <v>58</v>
      </c>
      <c r="E23" s="33"/>
      <c r="F23" s="22" t="s">
        <v>59</v>
      </c>
      <c r="G23" s="34"/>
      <c r="H23" s="35"/>
      <c r="I23" s="36"/>
    </row>
    <row r="24" ht="18.75" customHeight="1">
      <c r="A24" s="27"/>
      <c r="B24" s="27"/>
      <c r="C24" s="27"/>
      <c r="D24" s="22" t="s">
        <v>63</v>
      </c>
      <c r="E24" s="33"/>
      <c r="F24" s="22" t="s">
        <v>64</v>
      </c>
      <c r="G24" s="34"/>
      <c r="H24" s="27"/>
      <c r="I24" s="27"/>
    </row>
    <row r="25" ht="18.75" customHeight="1">
      <c r="A25" s="19">
        <v>12.0</v>
      </c>
      <c r="B25" s="32"/>
      <c r="C25" s="32"/>
      <c r="D25" s="22" t="s">
        <v>58</v>
      </c>
      <c r="E25" s="33"/>
      <c r="F25" s="22" t="s">
        <v>59</v>
      </c>
      <c r="G25" s="34"/>
      <c r="H25" s="35"/>
      <c r="I25" s="36"/>
    </row>
    <row r="26" ht="18.75" customHeight="1">
      <c r="A26" s="27"/>
      <c r="B26" s="27"/>
      <c r="C26" s="27"/>
      <c r="D26" s="22" t="s">
        <v>63</v>
      </c>
      <c r="E26" s="33"/>
      <c r="F26" s="22" t="s">
        <v>64</v>
      </c>
      <c r="G26" s="34"/>
      <c r="H26" s="27"/>
      <c r="I26" s="27"/>
    </row>
    <row r="27" ht="18.75" customHeight="1">
      <c r="A27" s="19">
        <v>13.0</v>
      </c>
      <c r="B27" s="32"/>
      <c r="C27" s="32"/>
      <c r="D27" s="22" t="s">
        <v>58</v>
      </c>
      <c r="E27" s="33"/>
      <c r="F27" s="22" t="s">
        <v>59</v>
      </c>
      <c r="G27" s="34"/>
      <c r="H27" s="35"/>
      <c r="I27" s="36"/>
    </row>
    <row r="28" ht="18.75" customHeight="1">
      <c r="A28" s="27"/>
      <c r="B28" s="27"/>
      <c r="C28" s="27"/>
      <c r="D28" s="22" t="s">
        <v>63</v>
      </c>
      <c r="E28" s="33"/>
      <c r="F28" s="22" t="s">
        <v>64</v>
      </c>
      <c r="G28" s="34"/>
      <c r="H28" s="27"/>
      <c r="I28" s="27"/>
    </row>
    <row r="29" ht="18.75" customHeight="1">
      <c r="A29" s="19">
        <v>14.0</v>
      </c>
      <c r="B29" s="32"/>
      <c r="C29" s="32"/>
      <c r="D29" s="22" t="s">
        <v>58</v>
      </c>
      <c r="E29" s="33"/>
      <c r="F29" s="22" t="s">
        <v>59</v>
      </c>
      <c r="G29" s="34"/>
      <c r="H29" s="35"/>
      <c r="I29" s="36"/>
    </row>
    <row r="30" ht="18.75" customHeight="1">
      <c r="A30" s="27"/>
      <c r="B30" s="27"/>
      <c r="C30" s="27"/>
      <c r="D30" s="22" t="s">
        <v>63</v>
      </c>
      <c r="E30" s="33"/>
      <c r="F30" s="22" t="s">
        <v>64</v>
      </c>
      <c r="G30" s="34"/>
      <c r="H30" s="27"/>
      <c r="I30" s="27"/>
    </row>
    <row r="31" ht="18.75" customHeight="1">
      <c r="A31" s="19">
        <v>15.0</v>
      </c>
      <c r="B31" s="32"/>
      <c r="C31" s="32"/>
      <c r="D31" s="22" t="s">
        <v>58</v>
      </c>
      <c r="E31" s="33"/>
      <c r="F31" s="22" t="s">
        <v>59</v>
      </c>
      <c r="G31" s="34"/>
      <c r="H31" s="35"/>
      <c r="I31" s="36"/>
    </row>
    <row r="32" ht="18.75" customHeight="1">
      <c r="A32" s="27"/>
      <c r="B32" s="27"/>
      <c r="C32" s="27"/>
      <c r="D32" s="22" t="s">
        <v>63</v>
      </c>
      <c r="E32" s="33"/>
      <c r="F32" s="22" t="s">
        <v>64</v>
      </c>
      <c r="G32" s="34"/>
      <c r="H32" s="27"/>
      <c r="I32" s="27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8">
    <mergeCell ref="B19:B20"/>
    <mergeCell ref="C19:C20"/>
    <mergeCell ref="A15:A16"/>
    <mergeCell ref="B15:B16"/>
    <mergeCell ref="C15:C16"/>
    <mergeCell ref="A17:A18"/>
    <mergeCell ref="B17:B18"/>
    <mergeCell ref="C17:C18"/>
    <mergeCell ref="A19:A20"/>
    <mergeCell ref="B25:B26"/>
    <mergeCell ref="C25:C26"/>
    <mergeCell ref="A21:A22"/>
    <mergeCell ref="B21:B22"/>
    <mergeCell ref="C21:C22"/>
    <mergeCell ref="A23:A24"/>
    <mergeCell ref="B23:B24"/>
    <mergeCell ref="C23:C24"/>
    <mergeCell ref="A25:A26"/>
    <mergeCell ref="B31:B32"/>
    <mergeCell ref="C31:C32"/>
    <mergeCell ref="A27:A28"/>
    <mergeCell ref="B27:B28"/>
    <mergeCell ref="C27:C28"/>
    <mergeCell ref="A29:A30"/>
    <mergeCell ref="B29:B30"/>
    <mergeCell ref="C29:C30"/>
    <mergeCell ref="A31:A32"/>
    <mergeCell ref="I27:I28"/>
    <mergeCell ref="I29:I30"/>
    <mergeCell ref="I13:I14"/>
    <mergeCell ref="I15:I16"/>
    <mergeCell ref="I17:I18"/>
    <mergeCell ref="I19:I20"/>
    <mergeCell ref="I21:I22"/>
    <mergeCell ref="I23:I24"/>
    <mergeCell ref="I25:I26"/>
    <mergeCell ref="A1:I1"/>
    <mergeCell ref="D2:E2"/>
    <mergeCell ref="F2:G2"/>
    <mergeCell ref="B3:B4"/>
    <mergeCell ref="C3:C4"/>
    <mergeCell ref="H3:H4"/>
    <mergeCell ref="I3:I4"/>
    <mergeCell ref="A3:A4"/>
    <mergeCell ref="A5:A6"/>
    <mergeCell ref="B5:B6"/>
    <mergeCell ref="C5:C6"/>
    <mergeCell ref="A7:A8"/>
    <mergeCell ref="B7:B8"/>
    <mergeCell ref="C7:C8"/>
    <mergeCell ref="B13:B14"/>
    <mergeCell ref="C13:C14"/>
    <mergeCell ref="A9:A10"/>
    <mergeCell ref="B9:B10"/>
    <mergeCell ref="C9:C10"/>
    <mergeCell ref="A11:A12"/>
    <mergeCell ref="B11:B12"/>
    <mergeCell ref="C11:C12"/>
    <mergeCell ref="A13:A14"/>
    <mergeCell ref="H5:H6"/>
    <mergeCell ref="I5:I6"/>
    <mergeCell ref="H7:H8"/>
    <mergeCell ref="I7:I8"/>
    <mergeCell ref="H9:H10"/>
    <mergeCell ref="I9:I10"/>
    <mergeCell ref="I11:I12"/>
    <mergeCell ref="H25:H26"/>
    <mergeCell ref="H27:H28"/>
    <mergeCell ref="H29:H30"/>
    <mergeCell ref="H31:H32"/>
    <mergeCell ref="I31:I32"/>
    <mergeCell ref="H11:H12"/>
    <mergeCell ref="H13:H14"/>
    <mergeCell ref="H15:H16"/>
    <mergeCell ref="H17:H18"/>
    <mergeCell ref="H19:H20"/>
    <mergeCell ref="H21:H22"/>
    <mergeCell ref="H23:H2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20.25" customHeight="1">
      <c r="A1" s="37" t="s">
        <v>83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9"/>
    </row>
    <row r="2" ht="15.75" customHeight="1">
      <c r="A2" s="40"/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>
      <c r="A33" s="40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mergeCells count="3">
    <mergeCell ref="A1:Q1"/>
    <mergeCell ref="A2:Q32"/>
    <mergeCell ref="A33:Q6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8.25"/>
    <col customWidth="1" min="3" max="3" width="29.88"/>
    <col customWidth="1" min="4" max="4" width="35.63"/>
    <col customWidth="1" min="5" max="5" width="20.25"/>
    <col customWidth="1" min="6" max="6" width="29.75"/>
    <col customWidth="1" min="7" max="7" width="29.13"/>
    <col customWidth="1" min="8" max="8" width="31.25"/>
  </cols>
  <sheetData>
    <row r="1" ht="15.75" customHeight="1">
      <c r="A1" s="41" t="s">
        <v>84</v>
      </c>
    </row>
    <row r="2" ht="19.5" customHeight="1">
      <c r="A2" s="42" t="s">
        <v>85</v>
      </c>
      <c r="B2" s="43" t="s">
        <v>86</v>
      </c>
      <c r="C2" s="44"/>
      <c r="D2" s="44"/>
      <c r="E2" s="44"/>
      <c r="F2" s="44"/>
      <c r="G2" s="44"/>
      <c r="H2" s="45"/>
    </row>
    <row r="3" ht="15.75" customHeight="1">
      <c r="A3" s="46">
        <v>1.0</v>
      </c>
      <c r="B3" s="47" t="s">
        <v>87</v>
      </c>
      <c r="C3" s="48"/>
      <c r="D3" s="48"/>
      <c r="E3" s="48"/>
      <c r="F3" s="48"/>
      <c r="G3" s="48"/>
      <c r="H3" s="49"/>
    </row>
    <row r="4" ht="15.75" customHeight="1">
      <c r="A4" s="46">
        <v>2.0</v>
      </c>
      <c r="B4" s="47" t="s">
        <v>88</v>
      </c>
      <c r="C4" s="48"/>
      <c r="D4" s="48"/>
      <c r="E4" s="48"/>
      <c r="F4" s="48"/>
      <c r="G4" s="48"/>
      <c r="H4" s="49"/>
    </row>
    <row r="5" ht="15.75" customHeight="1">
      <c r="A5" s="46">
        <v>3.0</v>
      </c>
      <c r="B5" s="47" t="s">
        <v>89</v>
      </c>
      <c r="C5" s="48"/>
      <c r="D5" s="48"/>
      <c r="E5" s="48"/>
      <c r="F5" s="48"/>
      <c r="G5" s="48"/>
      <c r="H5" s="49"/>
    </row>
    <row r="6" ht="15.75" customHeight="1">
      <c r="A6" s="46">
        <v>4.0</v>
      </c>
      <c r="B6" s="47" t="s">
        <v>90</v>
      </c>
      <c r="C6" s="48"/>
      <c r="D6" s="48"/>
      <c r="E6" s="48"/>
      <c r="F6" s="48"/>
      <c r="G6" s="48"/>
      <c r="H6" s="49"/>
    </row>
    <row r="7" ht="15.75" customHeight="1">
      <c r="A7" s="50" t="s">
        <v>91</v>
      </c>
      <c r="F7" s="51" t="s">
        <v>92</v>
      </c>
    </row>
    <row r="8" ht="30.75" customHeight="1">
      <c r="A8" s="52" t="s">
        <v>93</v>
      </c>
      <c r="B8" s="42" t="s">
        <v>1</v>
      </c>
      <c r="C8" s="42" t="s">
        <v>94</v>
      </c>
      <c r="D8" s="42" t="s">
        <v>95</v>
      </c>
      <c r="E8" s="53" t="s">
        <v>96</v>
      </c>
      <c r="F8" s="54" t="s">
        <v>97</v>
      </c>
      <c r="G8" s="54" t="s">
        <v>98</v>
      </c>
      <c r="H8" s="54" t="s">
        <v>99</v>
      </c>
    </row>
    <row r="9" ht="48.0" customHeight="1">
      <c r="A9" s="55" t="s">
        <v>100</v>
      </c>
      <c r="B9" s="56">
        <v>1.0</v>
      </c>
      <c r="C9" s="57" t="s">
        <v>101</v>
      </c>
      <c r="D9" s="57" t="s">
        <v>102</v>
      </c>
      <c r="E9" s="57" t="s">
        <v>6</v>
      </c>
      <c r="F9" s="57" t="s">
        <v>103</v>
      </c>
      <c r="G9" s="57" t="s">
        <v>104</v>
      </c>
      <c r="H9" s="57" t="s">
        <v>105</v>
      </c>
    </row>
    <row r="10" ht="15.75" customHeight="1">
      <c r="A10" s="55" t="s">
        <v>106</v>
      </c>
      <c r="B10" s="56">
        <f t="shared" ref="B10:B48" si="1">B9+1</f>
        <v>2</v>
      </c>
      <c r="C10" s="57" t="s">
        <v>107</v>
      </c>
      <c r="D10" s="57" t="s">
        <v>108</v>
      </c>
      <c r="E10" s="57" t="s">
        <v>6</v>
      </c>
      <c r="F10" s="58" t="s">
        <v>109</v>
      </c>
      <c r="G10" s="58" t="s">
        <v>110</v>
      </c>
      <c r="H10" s="58" t="s">
        <v>111</v>
      </c>
    </row>
    <row r="11" ht="15.75" customHeight="1">
      <c r="A11" s="55" t="s">
        <v>112</v>
      </c>
      <c r="B11" s="56">
        <f t="shared" si="1"/>
        <v>3</v>
      </c>
      <c r="C11" s="57" t="s">
        <v>113</v>
      </c>
      <c r="D11" s="57" t="s">
        <v>114</v>
      </c>
      <c r="E11" s="57" t="s">
        <v>6</v>
      </c>
      <c r="F11" s="58" t="s">
        <v>115</v>
      </c>
      <c r="G11" s="58" t="s">
        <v>116</v>
      </c>
      <c r="H11" s="58" t="s">
        <v>117</v>
      </c>
    </row>
    <row r="12" ht="15.75" customHeight="1">
      <c r="A12" s="55" t="s">
        <v>118</v>
      </c>
      <c r="B12" s="56">
        <f t="shared" si="1"/>
        <v>4</v>
      </c>
      <c r="C12" s="57" t="s">
        <v>119</v>
      </c>
      <c r="D12" s="57" t="s">
        <v>120</v>
      </c>
      <c r="E12" s="57" t="s">
        <v>6</v>
      </c>
      <c r="F12" s="57">
        <v>3.001111111E9</v>
      </c>
      <c r="G12" s="57">
        <v>3.002222222E9</v>
      </c>
      <c r="H12" s="57">
        <v>3.003333333E9</v>
      </c>
    </row>
    <row r="13" ht="15.75" customHeight="1">
      <c r="A13" s="55" t="s">
        <v>121</v>
      </c>
      <c r="B13" s="56">
        <f t="shared" si="1"/>
        <v>5</v>
      </c>
      <c r="C13" s="57" t="s">
        <v>122</v>
      </c>
      <c r="D13" s="57" t="s">
        <v>123</v>
      </c>
      <c r="E13" s="57" t="s">
        <v>124</v>
      </c>
      <c r="F13" s="57" t="s">
        <v>125</v>
      </c>
      <c r="G13" s="57" t="s">
        <v>126</v>
      </c>
      <c r="H13" s="57" t="s">
        <v>127</v>
      </c>
    </row>
    <row r="14" ht="15.75" customHeight="1">
      <c r="A14" s="55" t="s">
        <v>128</v>
      </c>
      <c r="B14" s="56">
        <f t="shared" si="1"/>
        <v>6</v>
      </c>
      <c r="C14" s="57" t="s">
        <v>101</v>
      </c>
      <c r="D14" s="57" t="s">
        <v>129</v>
      </c>
      <c r="E14" s="57" t="s">
        <v>124</v>
      </c>
      <c r="F14" s="57" t="s">
        <v>103</v>
      </c>
      <c r="G14" s="57" t="s">
        <v>104</v>
      </c>
      <c r="H14" s="57" t="s">
        <v>105</v>
      </c>
    </row>
    <row r="15" ht="15.75" customHeight="1">
      <c r="A15" s="55" t="s">
        <v>130</v>
      </c>
      <c r="B15" s="56">
        <f t="shared" si="1"/>
        <v>7</v>
      </c>
      <c r="C15" s="57" t="s">
        <v>131</v>
      </c>
      <c r="D15" s="57" t="s">
        <v>132</v>
      </c>
      <c r="E15" s="57" t="s">
        <v>124</v>
      </c>
      <c r="F15" s="57" t="s">
        <v>133</v>
      </c>
      <c r="G15" s="57" t="s">
        <v>134</v>
      </c>
      <c r="H15" s="57" t="s">
        <v>135</v>
      </c>
    </row>
    <row r="16" ht="15.75" customHeight="1">
      <c r="A16" s="55" t="s">
        <v>136</v>
      </c>
      <c r="B16" s="56">
        <f t="shared" si="1"/>
        <v>8</v>
      </c>
      <c r="C16" s="57" t="s">
        <v>137</v>
      </c>
      <c r="D16" s="57" t="s">
        <v>138</v>
      </c>
      <c r="E16" s="57" t="s">
        <v>124</v>
      </c>
      <c r="F16" s="57" t="s">
        <v>139</v>
      </c>
      <c r="G16" s="57" t="s">
        <v>140</v>
      </c>
      <c r="H16" s="57" t="s">
        <v>141</v>
      </c>
    </row>
    <row r="17" ht="15.75" customHeight="1">
      <c r="A17" s="55" t="s">
        <v>142</v>
      </c>
      <c r="B17" s="56">
        <f t="shared" si="1"/>
        <v>9</v>
      </c>
      <c r="C17" s="57" t="s">
        <v>143</v>
      </c>
      <c r="D17" s="57" t="s">
        <v>144</v>
      </c>
      <c r="E17" s="57" t="s">
        <v>32</v>
      </c>
      <c r="F17" s="57" t="s">
        <v>145</v>
      </c>
      <c r="G17" s="57" t="s">
        <v>146</v>
      </c>
      <c r="H17" s="57" t="s">
        <v>147</v>
      </c>
    </row>
    <row r="18" ht="15.75" customHeight="1">
      <c r="A18" s="55" t="s">
        <v>148</v>
      </c>
      <c r="B18" s="56">
        <f t="shared" si="1"/>
        <v>10</v>
      </c>
      <c r="C18" s="57" t="s">
        <v>149</v>
      </c>
      <c r="D18" s="57" t="s">
        <v>150</v>
      </c>
      <c r="E18" s="57" t="s">
        <v>32</v>
      </c>
      <c r="F18" s="57" t="s">
        <v>151</v>
      </c>
      <c r="G18" s="57" t="s">
        <v>152</v>
      </c>
      <c r="H18" s="57" t="s">
        <v>153</v>
      </c>
    </row>
    <row r="19" ht="15.75" customHeight="1">
      <c r="A19" s="55" t="s">
        <v>154</v>
      </c>
      <c r="B19" s="56">
        <f t="shared" si="1"/>
        <v>11</v>
      </c>
      <c r="C19" s="57" t="s">
        <v>155</v>
      </c>
      <c r="D19" s="57" t="s">
        <v>156</v>
      </c>
      <c r="E19" s="57" t="s">
        <v>32</v>
      </c>
      <c r="F19" s="57">
        <v>25000.0</v>
      </c>
      <c r="G19" s="57">
        <v>18000.0</v>
      </c>
      <c r="H19" s="57">
        <v>15000.0</v>
      </c>
    </row>
    <row r="20" ht="15.75" customHeight="1">
      <c r="A20" s="55" t="s">
        <v>157</v>
      </c>
      <c r="B20" s="56">
        <f t="shared" si="1"/>
        <v>12</v>
      </c>
      <c r="C20" s="57" t="s">
        <v>122</v>
      </c>
      <c r="D20" s="57" t="s">
        <v>158</v>
      </c>
      <c r="E20" s="57" t="s">
        <v>32</v>
      </c>
      <c r="F20" s="57" t="s">
        <v>125</v>
      </c>
      <c r="G20" s="57" t="s">
        <v>126</v>
      </c>
      <c r="H20" s="57" t="s">
        <v>127</v>
      </c>
    </row>
    <row r="21" ht="15.75" customHeight="1">
      <c r="A21" s="55" t="s">
        <v>159</v>
      </c>
      <c r="B21" s="56">
        <f t="shared" si="1"/>
        <v>13</v>
      </c>
      <c r="C21" s="57" t="s">
        <v>160</v>
      </c>
      <c r="D21" s="57" t="s">
        <v>161</v>
      </c>
      <c r="E21" s="57" t="s">
        <v>16</v>
      </c>
      <c r="F21" s="57" t="s">
        <v>162</v>
      </c>
      <c r="G21" s="57" t="s">
        <v>163</v>
      </c>
      <c r="H21" s="57" t="s">
        <v>164</v>
      </c>
    </row>
    <row r="22" ht="15.75" customHeight="1">
      <c r="A22" s="55" t="s">
        <v>165</v>
      </c>
      <c r="B22" s="56">
        <f t="shared" si="1"/>
        <v>14</v>
      </c>
      <c r="C22" s="57" t="s">
        <v>166</v>
      </c>
      <c r="D22" s="57" t="s">
        <v>167</v>
      </c>
      <c r="E22" s="57" t="s">
        <v>16</v>
      </c>
      <c r="F22" s="57" t="s">
        <v>168</v>
      </c>
      <c r="G22" s="57" t="s">
        <v>169</v>
      </c>
      <c r="H22" s="57" t="s">
        <v>170</v>
      </c>
    </row>
    <row r="23" ht="15.75" customHeight="1">
      <c r="A23" s="55" t="s">
        <v>171</v>
      </c>
      <c r="B23" s="56">
        <f t="shared" si="1"/>
        <v>15</v>
      </c>
      <c r="C23" s="57" t="s">
        <v>122</v>
      </c>
      <c r="D23" s="57" t="s">
        <v>172</v>
      </c>
      <c r="E23" s="57" t="s">
        <v>16</v>
      </c>
      <c r="F23" s="57" t="s">
        <v>125</v>
      </c>
      <c r="G23" s="57" t="s">
        <v>126</v>
      </c>
      <c r="H23" s="57" t="s">
        <v>127</v>
      </c>
    </row>
    <row r="24" ht="15.75" customHeight="1">
      <c r="A24" s="55" t="s">
        <v>173</v>
      </c>
      <c r="B24" s="56">
        <f t="shared" si="1"/>
        <v>16</v>
      </c>
      <c r="C24" s="57" t="s">
        <v>174</v>
      </c>
      <c r="D24" s="57" t="s">
        <v>175</v>
      </c>
      <c r="E24" s="57" t="s">
        <v>176</v>
      </c>
      <c r="F24" s="57" t="s">
        <v>177</v>
      </c>
      <c r="G24" s="57" t="s">
        <v>178</v>
      </c>
      <c r="H24" s="57" t="s">
        <v>179</v>
      </c>
    </row>
    <row r="25" ht="15.75" customHeight="1">
      <c r="A25" s="55" t="s">
        <v>180</v>
      </c>
      <c r="B25" s="56">
        <f t="shared" si="1"/>
        <v>17</v>
      </c>
      <c r="C25" s="57" t="s">
        <v>181</v>
      </c>
      <c r="D25" s="57" t="s">
        <v>182</v>
      </c>
      <c r="E25" s="57" t="s">
        <v>176</v>
      </c>
      <c r="F25" s="57" t="s">
        <v>183</v>
      </c>
      <c r="G25" s="57" t="s">
        <v>184</v>
      </c>
      <c r="H25" s="57" t="s">
        <v>185</v>
      </c>
    </row>
    <row r="26" ht="15.75" customHeight="1">
      <c r="A26" s="55" t="s">
        <v>186</v>
      </c>
      <c r="B26" s="56">
        <f t="shared" si="1"/>
        <v>18</v>
      </c>
      <c r="C26" s="57" t="s">
        <v>187</v>
      </c>
      <c r="D26" s="57" t="s">
        <v>188</v>
      </c>
      <c r="E26" s="57" t="s">
        <v>176</v>
      </c>
      <c r="F26" s="59">
        <v>45361.0</v>
      </c>
      <c r="G26" s="59">
        <v>45366.0</v>
      </c>
      <c r="H26" s="59">
        <v>45371.0</v>
      </c>
    </row>
    <row r="27" ht="15.75" customHeight="1">
      <c r="A27" s="55" t="s">
        <v>189</v>
      </c>
      <c r="B27" s="56">
        <f t="shared" si="1"/>
        <v>19</v>
      </c>
      <c r="C27" s="57" t="s">
        <v>160</v>
      </c>
      <c r="D27" s="57" t="s">
        <v>190</v>
      </c>
      <c r="E27" s="57" t="s">
        <v>176</v>
      </c>
      <c r="F27" s="57" t="s">
        <v>162</v>
      </c>
      <c r="G27" s="57" t="s">
        <v>163</v>
      </c>
      <c r="H27" s="57" t="s">
        <v>164</v>
      </c>
    </row>
    <row r="28" ht="15.75" customHeight="1">
      <c r="A28" s="55" t="s">
        <v>191</v>
      </c>
      <c r="B28" s="56">
        <f t="shared" si="1"/>
        <v>20</v>
      </c>
      <c r="C28" s="57" t="s">
        <v>192</v>
      </c>
      <c r="D28" s="57" t="s">
        <v>193</v>
      </c>
      <c r="E28" s="57" t="s">
        <v>38</v>
      </c>
      <c r="F28" s="57" t="s">
        <v>194</v>
      </c>
      <c r="G28" s="57" t="s">
        <v>195</v>
      </c>
      <c r="H28" s="57" t="s">
        <v>196</v>
      </c>
    </row>
    <row r="29" ht="15.75" customHeight="1">
      <c r="A29" s="55" t="s">
        <v>197</v>
      </c>
      <c r="B29" s="56">
        <f t="shared" si="1"/>
        <v>21</v>
      </c>
      <c r="C29" s="57" t="s">
        <v>198</v>
      </c>
      <c r="D29" s="57" t="s">
        <v>199</v>
      </c>
      <c r="E29" s="57" t="s">
        <v>38</v>
      </c>
      <c r="F29" s="59">
        <v>45787.0</v>
      </c>
      <c r="G29" s="59">
        <v>45788.0</v>
      </c>
      <c r="H29" s="59">
        <v>45789.0</v>
      </c>
    </row>
    <row r="30" ht="15.75" customHeight="1">
      <c r="A30" s="55" t="s">
        <v>200</v>
      </c>
      <c r="B30" s="56">
        <f t="shared" si="1"/>
        <v>22</v>
      </c>
      <c r="C30" s="57" t="s">
        <v>201</v>
      </c>
      <c r="D30" s="57" t="s">
        <v>202</v>
      </c>
      <c r="E30" s="57" t="s">
        <v>38</v>
      </c>
      <c r="F30" s="57" t="s">
        <v>203</v>
      </c>
      <c r="G30" s="57" t="s">
        <v>204</v>
      </c>
      <c r="H30" s="57" t="s">
        <v>205</v>
      </c>
    </row>
    <row r="31" ht="15.75" customHeight="1">
      <c r="A31" s="55" t="s">
        <v>206</v>
      </c>
      <c r="B31" s="56">
        <f t="shared" si="1"/>
        <v>23</v>
      </c>
      <c r="C31" s="57" t="s">
        <v>101</v>
      </c>
      <c r="D31" s="57" t="s">
        <v>207</v>
      </c>
      <c r="E31" s="57" t="s">
        <v>38</v>
      </c>
      <c r="F31" s="57" t="s">
        <v>103</v>
      </c>
      <c r="G31" s="57" t="s">
        <v>104</v>
      </c>
      <c r="H31" s="57" t="s">
        <v>105</v>
      </c>
    </row>
    <row r="32" ht="15.75" customHeight="1">
      <c r="A32" s="55" t="s">
        <v>208</v>
      </c>
      <c r="B32" s="56">
        <f t="shared" si="1"/>
        <v>24</v>
      </c>
      <c r="C32" s="57" t="s">
        <v>209</v>
      </c>
      <c r="D32" s="57" t="s">
        <v>210</v>
      </c>
      <c r="E32" s="57" t="s">
        <v>211</v>
      </c>
      <c r="F32" s="57" t="s">
        <v>212</v>
      </c>
      <c r="G32" s="57" t="s">
        <v>213</v>
      </c>
      <c r="H32" s="57" t="s">
        <v>214</v>
      </c>
    </row>
    <row r="33" ht="15.75" customHeight="1">
      <c r="A33" s="55" t="s">
        <v>215</v>
      </c>
      <c r="B33" s="56">
        <f t="shared" si="1"/>
        <v>25</v>
      </c>
      <c r="C33" s="57" t="s">
        <v>192</v>
      </c>
      <c r="D33" s="57" t="s">
        <v>216</v>
      </c>
      <c r="E33" s="57" t="s">
        <v>211</v>
      </c>
      <c r="F33" s="57" t="s">
        <v>194</v>
      </c>
      <c r="G33" s="57" t="s">
        <v>195</v>
      </c>
      <c r="H33" s="57" t="s">
        <v>196</v>
      </c>
    </row>
    <row r="34" ht="15.75" customHeight="1">
      <c r="A34" s="55" t="s">
        <v>217</v>
      </c>
      <c r="B34" s="56">
        <f t="shared" si="1"/>
        <v>26</v>
      </c>
      <c r="C34" s="57" t="s">
        <v>143</v>
      </c>
      <c r="D34" s="57" t="s">
        <v>218</v>
      </c>
      <c r="E34" s="57" t="s">
        <v>211</v>
      </c>
      <c r="F34" s="57" t="s">
        <v>145</v>
      </c>
      <c r="G34" s="57" t="s">
        <v>146</v>
      </c>
      <c r="H34" s="57" t="s">
        <v>147</v>
      </c>
    </row>
    <row r="35" ht="15.75" customHeight="1">
      <c r="A35" s="55" t="s">
        <v>219</v>
      </c>
      <c r="B35" s="56">
        <f t="shared" si="1"/>
        <v>27</v>
      </c>
      <c r="C35" s="57" t="s">
        <v>220</v>
      </c>
      <c r="D35" s="57" t="s">
        <v>221</v>
      </c>
      <c r="E35" s="57" t="s">
        <v>211</v>
      </c>
      <c r="F35" s="57">
        <v>2.0</v>
      </c>
      <c r="G35" s="57">
        <v>1.0</v>
      </c>
      <c r="H35" s="57">
        <v>3.0</v>
      </c>
    </row>
    <row r="36" ht="15.75" customHeight="1">
      <c r="A36" s="55" t="s">
        <v>222</v>
      </c>
      <c r="B36" s="56">
        <f t="shared" si="1"/>
        <v>28</v>
      </c>
      <c r="C36" s="57" t="s">
        <v>223</v>
      </c>
      <c r="D36" s="57" t="s">
        <v>224</v>
      </c>
      <c r="E36" s="57" t="s">
        <v>211</v>
      </c>
      <c r="F36" s="57">
        <v>25000.0</v>
      </c>
      <c r="G36" s="57">
        <v>18000.0</v>
      </c>
      <c r="H36" s="57">
        <v>15000.0</v>
      </c>
    </row>
    <row r="37" ht="15.75" customHeight="1">
      <c r="A37" s="55" t="s">
        <v>225</v>
      </c>
      <c r="B37" s="56">
        <f t="shared" si="1"/>
        <v>29</v>
      </c>
      <c r="C37" s="60"/>
      <c r="D37" s="60"/>
      <c r="E37" s="60"/>
      <c r="F37" s="60"/>
      <c r="G37" s="60"/>
      <c r="H37" s="60"/>
    </row>
    <row r="38" ht="15.75" customHeight="1">
      <c r="A38" s="55" t="s">
        <v>226</v>
      </c>
      <c r="B38" s="56">
        <f t="shared" si="1"/>
        <v>30</v>
      </c>
      <c r="C38" s="60"/>
      <c r="D38" s="60"/>
      <c r="E38" s="60"/>
      <c r="F38" s="60"/>
      <c r="G38" s="60"/>
      <c r="H38" s="60"/>
    </row>
    <row r="39" ht="15.75" customHeight="1">
      <c r="A39" s="55" t="s">
        <v>227</v>
      </c>
      <c r="B39" s="56">
        <f t="shared" si="1"/>
        <v>31</v>
      </c>
      <c r="C39" s="60"/>
      <c r="D39" s="60"/>
      <c r="E39" s="60"/>
      <c r="F39" s="60"/>
      <c r="G39" s="60"/>
      <c r="H39" s="60"/>
    </row>
    <row r="40" ht="15.75" customHeight="1">
      <c r="A40" s="55" t="s">
        <v>228</v>
      </c>
      <c r="B40" s="56">
        <f t="shared" si="1"/>
        <v>32</v>
      </c>
      <c r="C40" s="60"/>
      <c r="D40" s="60"/>
      <c r="E40" s="60"/>
      <c r="F40" s="60"/>
      <c r="G40" s="60"/>
      <c r="H40" s="60"/>
    </row>
    <row r="41" ht="15.75" customHeight="1">
      <c r="A41" s="55" t="s">
        <v>229</v>
      </c>
      <c r="B41" s="56">
        <f t="shared" si="1"/>
        <v>33</v>
      </c>
      <c r="C41" s="60"/>
      <c r="D41" s="60"/>
      <c r="E41" s="60"/>
      <c r="F41" s="60"/>
      <c r="G41" s="60"/>
      <c r="H41" s="60"/>
    </row>
    <row r="42" ht="15.75" customHeight="1">
      <c r="A42" s="55" t="s">
        <v>230</v>
      </c>
      <c r="B42" s="56">
        <f t="shared" si="1"/>
        <v>34</v>
      </c>
      <c r="C42" s="60"/>
      <c r="D42" s="60"/>
      <c r="E42" s="60"/>
      <c r="F42" s="60"/>
      <c r="G42" s="60"/>
      <c r="H42" s="60"/>
    </row>
    <row r="43" ht="15.75" customHeight="1">
      <c r="A43" s="55" t="s">
        <v>231</v>
      </c>
      <c r="B43" s="56">
        <f t="shared" si="1"/>
        <v>35</v>
      </c>
      <c r="C43" s="60"/>
      <c r="D43" s="60"/>
      <c r="E43" s="60"/>
      <c r="F43" s="60"/>
      <c r="G43" s="60"/>
      <c r="H43" s="60"/>
    </row>
    <row r="44" ht="15.75" customHeight="1">
      <c r="A44" s="55" t="s">
        <v>232</v>
      </c>
      <c r="B44" s="56">
        <f t="shared" si="1"/>
        <v>36</v>
      </c>
      <c r="C44" s="60"/>
      <c r="D44" s="60"/>
      <c r="E44" s="60"/>
      <c r="F44" s="60"/>
      <c r="G44" s="60"/>
      <c r="H44" s="60"/>
    </row>
    <row r="45" ht="15.75" customHeight="1">
      <c r="A45" s="55" t="s">
        <v>233</v>
      </c>
      <c r="B45" s="56">
        <f t="shared" si="1"/>
        <v>37</v>
      </c>
      <c r="C45" s="60"/>
      <c r="D45" s="60"/>
      <c r="E45" s="60"/>
      <c r="F45" s="60"/>
      <c r="G45" s="60"/>
      <c r="H45" s="60"/>
    </row>
    <row r="46" ht="15.75" customHeight="1">
      <c r="A46" s="55" t="s">
        <v>234</v>
      </c>
      <c r="B46" s="56">
        <f t="shared" si="1"/>
        <v>38</v>
      </c>
      <c r="C46" s="60"/>
      <c r="D46" s="60"/>
      <c r="E46" s="60"/>
      <c r="F46" s="60"/>
      <c r="G46" s="60"/>
      <c r="H46" s="60"/>
    </row>
    <row r="47" ht="15.75" customHeight="1">
      <c r="A47" s="55" t="s">
        <v>235</v>
      </c>
      <c r="B47" s="56">
        <f t="shared" si="1"/>
        <v>39</v>
      </c>
      <c r="C47" s="60"/>
      <c r="D47" s="60"/>
      <c r="E47" s="60"/>
      <c r="F47" s="60"/>
      <c r="G47" s="60"/>
      <c r="H47" s="60"/>
    </row>
    <row r="48" ht="15.75" customHeight="1">
      <c r="A48" s="55" t="s">
        <v>236</v>
      </c>
      <c r="B48" s="56">
        <f t="shared" si="1"/>
        <v>40</v>
      </c>
      <c r="C48" s="60"/>
      <c r="D48" s="60"/>
      <c r="E48" s="60"/>
      <c r="F48" s="60"/>
      <c r="G48" s="60"/>
      <c r="H48" s="60"/>
    </row>
    <row r="49" ht="15.75" customHeight="1">
      <c r="A49" s="55" t="s">
        <v>237</v>
      </c>
      <c r="B49" s="61"/>
      <c r="C49" s="60"/>
      <c r="D49" s="60"/>
      <c r="E49" s="60"/>
      <c r="F49" s="60"/>
      <c r="G49" s="60"/>
      <c r="H49" s="60"/>
    </row>
    <row r="50" ht="15.75" customHeight="1">
      <c r="A50" s="55" t="s">
        <v>238</v>
      </c>
      <c r="B50" s="61"/>
      <c r="C50" s="60"/>
      <c r="D50" s="60"/>
      <c r="E50" s="60"/>
      <c r="F50" s="60"/>
      <c r="G50" s="60"/>
      <c r="H50" s="60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H1"/>
    <mergeCell ref="B2:H2"/>
    <mergeCell ref="A7:E7"/>
    <mergeCell ref="F7:H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2.13"/>
    <col customWidth="1" min="4" max="4" width="7.38"/>
    <col customWidth="1" min="5" max="5" width="12.5"/>
    <col customWidth="1" min="6" max="6" width="0.38"/>
    <col customWidth="1" min="8" max="8" width="10.13"/>
    <col customWidth="1" min="10" max="10" width="1.75"/>
    <col customWidth="1" min="11" max="11" width="21.75"/>
    <col customWidth="1" min="12" max="25" width="31.63"/>
  </cols>
  <sheetData>
    <row r="1" ht="31.5" customHeight="1">
      <c r="A1" s="62" t="s">
        <v>239</v>
      </c>
      <c r="L1" s="63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</row>
    <row r="2" ht="31.5" customHeight="1">
      <c r="A2" s="64" t="s">
        <v>85</v>
      </c>
      <c r="B2" s="65" t="s">
        <v>240</v>
      </c>
      <c r="C2" s="44"/>
      <c r="D2" s="44"/>
      <c r="E2" s="44"/>
      <c r="F2" s="44"/>
      <c r="G2" s="44"/>
      <c r="H2" s="44"/>
      <c r="I2" s="44"/>
      <c r="J2" s="44"/>
      <c r="K2" s="45"/>
      <c r="L2" s="66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</row>
    <row r="3" ht="31.5" customHeight="1">
      <c r="A3" s="68">
        <v>1.0</v>
      </c>
      <c r="B3" s="69" t="s">
        <v>241</v>
      </c>
      <c r="C3" s="44"/>
      <c r="D3" s="44"/>
      <c r="E3" s="44"/>
      <c r="F3" s="44"/>
      <c r="G3" s="44"/>
      <c r="H3" s="44"/>
      <c r="I3" s="44"/>
      <c r="J3" s="44"/>
      <c r="K3" s="45"/>
      <c r="L3" s="70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</row>
    <row r="4" ht="31.5" customHeight="1">
      <c r="A4" s="68">
        <v>2.0</v>
      </c>
      <c r="B4" s="72" t="s">
        <v>242</v>
      </c>
      <c r="C4" s="44"/>
      <c r="D4" s="44"/>
      <c r="E4" s="44"/>
      <c r="F4" s="44"/>
      <c r="G4" s="44"/>
      <c r="H4" s="44"/>
      <c r="I4" s="44"/>
      <c r="J4" s="44"/>
      <c r="K4" s="45"/>
      <c r="L4" s="73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</row>
    <row r="5" ht="31.5" customHeight="1">
      <c r="A5" s="68">
        <v>3.0</v>
      </c>
      <c r="B5" s="72" t="s">
        <v>243</v>
      </c>
      <c r="C5" s="44"/>
      <c r="D5" s="44"/>
      <c r="E5" s="44"/>
      <c r="F5" s="44"/>
      <c r="G5" s="44"/>
      <c r="H5" s="44"/>
      <c r="I5" s="44"/>
      <c r="J5" s="44"/>
      <c r="K5" s="45"/>
      <c r="L5" s="73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</row>
    <row r="6" ht="31.5" customHeight="1">
      <c r="A6" s="68">
        <v>4.0</v>
      </c>
      <c r="B6" s="70" t="s">
        <v>244</v>
      </c>
      <c r="L6" s="73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</row>
    <row r="7" ht="31.5" customHeight="1">
      <c r="A7" s="74" t="s">
        <v>245</v>
      </c>
      <c r="B7" s="44"/>
      <c r="C7" s="44"/>
      <c r="D7" s="44"/>
      <c r="E7" s="44"/>
      <c r="F7" s="44"/>
      <c r="G7" s="44"/>
      <c r="H7" s="44"/>
      <c r="I7" s="44"/>
      <c r="J7" s="44"/>
      <c r="K7" s="45"/>
      <c r="L7" s="75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</row>
    <row r="8" ht="31.5" customHeight="1">
      <c r="A8" s="77"/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</row>
    <row r="9" ht="31.5" customHeight="1">
      <c r="A9" s="78">
        <v>1.0</v>
      </c>
      <c r="B9" s="79" t="s">
        <v>246</v>
      </c>
      <c r="C9" s="80" t="s">
        <v>247</v>
      </c>
      <c r="D9" s="44"/>
      <c r="E9" s="44"/>
      <c r="F9" s="45"/>
      <c r="G9" s="81" t="s">
        <v>248</v>
      </c>
      <c r="H9" s="44"/>
      <c r="I9" s="44"/>
      <c r="J9" s="45"/>
      <c r="K9" s="82" t="s">
        <v>249</v>
      </c>
      <c r="L9" s="83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</row>
    <row r="10" ht="31.5" customHeight="1">
      <c r="A10" s="85" t="s">
        <v>1</v>
      </c>
      <c r="B10" s="85" t="s">
        <v>250</v>
      </c>
      <c r="C10" s="79" t="s">
        <v>251</v>
      </c>
      <c r="D10" s="44"/>
      <c r="E10" s="44"/>
      <c r="F10" s="45"/>
      <c r="G10" s="81" t="s">
        <v>4</v>
      </c>
      <c r="H10" s="44"/>
      <c r="I10" s="44"/>
      <c r="J10" s="45"/>
      <c r="K10" s="86" t="s">
        <v>252</v>
      </c>
      <c r="L10" s="87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</row>
    <row r="11" ht="31.5" customHeight="1">
      <c r="A11" s="89">
        <v>1.0</v>
      </c>
      <c r="B11" s="90" t="s">
        <v>101</v>
      </c>
      <c r="C11" s="91" t="s">
        <v>253</v>
      </c>
      <c r="D11" s="44"/>
      <c r="E11" s="44"/>
      <c r="F11" s="45"/>
      <c r="G11" s="92" t="s">
        <v>103</v>
      </c>
      <c r="H11" s="44"/>
      <c r="I11" s="44"/>
      <c r="J11" s="45"/>
      <c r="K11" s="93" t="s">
        <v>254</v>
      </c>
      <c r="L11" s="94"/>
      <c r="M11" s="95"/>
      <c r="N11" s="95"/>
      <c r="O11" s="95"/>
      <c r="P11" s="95"/>
      <c r="Q11" s="95"/>
      <c r="R11" s="96"/>
      <c r="S11" s="96"/>
      <c r="T11" s="94"/>
      <c r="U11" s="94"/>
      <c r="V11" s="94"/>
      <c r="W11" s="94"/>
      <c r="X11" s="94"/>
      <c r="Y11" s="94"/>
    </row>
    <row r="12" ht="31.5" customHeight="1">
      <c r="A12" s="89">
        <v>2.0</v>
      </c>
      <c r="B12" s="90" t="s">
        <v>107</v>
      </c>
      <c r="C12" s="91" t="s">
        <v>255</v>
      </c>
      <c r="D12" s="44"/>
      <c r="E12" s="44"/>
      <c r="F12" s="45"/>
      <c r="G12" s="92" t="s">
        <v>256</v>
      </c>
      <c r="H12" s="44"/>
      <c r="I12" s="44"/>
      <c r="J12" s="45"/>
      <c r="K12" s="93" t="s">
        <v>254</v>
      </c>
      <c r="L12" s="94"/>
      <c r="R12" s="96"/>
      <c r="S12" s="96"/>
      <c r="T12" s="94"/>
      <c r="U12" s="94"/>
      <c r="V12" s="94"/>
      <c r="W12" s="94"/>
      <c r="X12" s="94"/>
      <c r="Y12" s="94"/>
    </row>
    <row r="13" ht="31.5" customHeight="1">
      <c r="A13" s="89">
        <v>3.0</v>
      </c>
      <c r="B13" s="90" t="s">
        <v>113</v>
      </c>
      <c r="C13" s="91" t="s">
        <v>257</v>
      </c>
      <c r="D13" s="44"/>
      <c r="E13" s="44"/>
      <c r="F13" s="45"/>
      <c r="G13" s="92" t="s">
        <v>258</v>
      </c>
      <c r="H13" s="44"/>
      <c r="I13" s="44"/>
      <c r="J13" s="45"/>
      <c r="K13" s="93" t="s">
        <v>254</v>
      </c>
      <c r="L13" s="94"/>
      <c r="R13" s="96"/>
      <c r="S13" s="96"/>
      <c r="T13" s="94"/>
      <c r="U13" s="94"/>
      <c r="V13" s="94"/>
      <c r="W13" s="94"/>
      <c r="X13" s="94"/>
      <c r="Y13" s="94"/>
    </row>
    <row r="14" ht="31.5" customHeight="1">
      <c r="A14" s="89">
        <v>4.0</v>
      </c>
      <c r="B14" s="90" t="s">
        <v>119</v>
      </c>
      <c r="C14" s="91" t="s">
        <v>259</v>
      </c>
      <c r="D14" s="44"/>
      <c r="E14" s="44"/>
      <c r="F14" s="45"/>
      <c r="G14" s="92">
        <v>3.001111111E9</v>
      </c>
      <c r="H14" s="44"/>
      <c r="I14" s="44"/>
      <c r="J14" s="45"/>
      <c r="K14" s="93" t="s">
        <v>254</v>
      </c>
      <c r="L14" s="94"/>
      <c r="R14" s="94"/>
      <c r="S14" s="94"/>
      <c r="T14" s="94"/>
      <c r="U14" s="94"/>
      <c r="V14" s="94"/>
      <c r="W14" s="94"/>
      <c r="X14" s="94"/>
      <c r="Y14" s="94"/>
    </row>
    <row r="15" ht="31.5" customHeight="1">
      <c r="A15" s="89">
        <v>5.0</v>
      </c>
      <c r="B15" s="90"/>
      <c r="C15" s="91"/>
      <c r="D15" s="44"/>
      <c r="E15" s="44"/>
      <c r="F15" s="45"/>
      <c r="G15" s="92"/>
      <c r="H15" s="44"/>
      <c r="I15" s="44"/>
      <c r="J15" s="45"/>
      <c r="K15" s="97"/>
      <c r="L15" s="94"/>
      <c r="R15" s="94"/>
      <c r="S15" s="94"/>
      <c r="T15" s="94"/>
      <c r="U15" s="94"/>
      <c r="V15" s="94"/>
      <c r="W15" s="94"/>
      <c r="X15" s="94"/>
      <c r="Y15" s="94"/>
    </row>
    <row r="16" ht="31.5" customHeight="1">
      <c r="A16" s="98"/>
      <c r="B16" s="99"/>
      <c r="C16" s="100"/>
      <c r="D16" s="44"/>
      <c r="E16" s="44"/>
      <c r="F16" s="45"/>
      <c r="G16" s="101"/>
      <c r="H16" s="44"/>
      <c r="I16" s="44"/>
      <c r="J16" s="45"/>
      <c r="K16" s="97"/>
      <c r="L16" s="94"/>
      <c r="R16" s="94"/>
      <c r="S16" s="94"/>
      <c r="T16" s="94"/>
      <c r="U16" s="94"/>
      <c r="V16" s="94"/>
      <c r="W16" s="94"/>
      <c r="X16" s="94"/>
      <c r="Y16" s="94"/>
    </row>
    <row r="17" ht="31.5" customHeight="1">
      <c r="A17" s="89" t="s">
        <v>260</v>
      </c>
      <c r="B17" s="99"/>
      <c r="C17" s="100"/>
      <c r="D17" s="44"/>
      <c r="E17" s="44"/>
      <c r="F17" s="45"/>
      <c r="G17" s="101"/>
      <c r="H17" s="44"/>
      <c r="I17" s="44"/>
      <c r="J17" s="45"/>
      <c r="K17" s="97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</row>
    <row r="18" ht="31.5" customHeight="1">
      <c r="A18" s="102"/>
      <c r="B18" s="102"/>
      <c r="C18" s="102"/>
      <c r="D18" s="102"/>
      <c r="E18" s="102"/>
      <c r="F18" s="102"/>
      <c r="G18" s="103"/>
      <c r="H18" s="103"/>
      <c r="I18" s="103"/>
      <c r="J18" s="103"/>
      <c r="K18" s="103"/>
      <c r="L18" s="77"/>
    </row>
    <row r="19" ht="31.5" customHeight="1">
      <c r="A19" s="78">
        <v>2.0</v>
      </c>
      <c r="B19" s="79" t="s">
        <v>246</v>
      </c>
      <c r="C19" s="104" t="s">
        <v>261</v>
      </c>
      <c r="D19" s="44"/>
      <c r="E19" s="44"/>
      <c r="F19" s="45"/>
      <c r="G19" s="81" t="s">
        <v>248</v>
      </c>
      <c r="H19" s="44"/>
      <c r="I19" s="44"/>
      <c r="J19" s="45"/>
      <c r="K19" s="82" t="s">
        <v>262</v>
      </c>
      <c r="L19" s="83"/>
      <c r="M19" s="95"/>
      <c r="N19" s="95"/>
      <c r="O19" s="95"/>
      <c r="P19" s="95"/>
      <c r="Q19" s="95"/>
      <c r="R19" s="84"/>
      <c r="S19" s="84"/>
      <c r="T19" s="84"/>
      <c r="U19" s="84"/>
      <c r="V19" s="84"/>
      <c r="W19" s="84"/>
      <c r="X19" s="84"/>
      <c r="Y19" s="84"/>
    </row>
    <row r="20" ht="31.5" customHeight="1">
      <c r="A20" s="85" t="s">
        <v>1</v>
      </c>
      <c r="B20" s="85" t="s">
        <v>250</v>
      </c>
      <c r="C20" s="79" t="s">
        <v>251</v>
      </c>
      <c r="D20" s="44"/>
      <c r="E20" s="44"/>
      <c r="F20" s="45"/>
      <c r="G20" s="81" t="s">
        <v>4</v>
      </c>
      <c r="H20" s="44"/>
      <c r="I20" s="44"/>
      <c r="J20" s="45"/>
      <c r="K20" s="86" t="s">
        <v>252</v>
      </c>
      <c r="L20" s="83"/>
      <c r="R20" s="88"/>
      <c r="S20" s="88"/>
      <c r="T20" s="88"/>
      <c r="U20" s="88"/>
      <c r="V20" s="88"/>
      <c r="W20" s="88"/>
      <c r="X20" s="88"/>
      <c r="Y20" s="88"/>
    </row>
    <row r="21" ht="31.5" customHeight="1">
      <c r="A21" s="89">
        <v>1.0</v>
      </c>
      <c r="B21" s="105" t="s">
        <v>122</v>
      </c>
      <c r="C21" s="106" t="s">
        <v>123</v>
      </c>
      <c r="D21" s="44"/>
      <c r="E21" s="44"/>
      <c r="F21" s="45"/>
      <c r="G21" s="107" t="s">
        <v>125</v>
      </c>
      <c r="H21" s="44"/>
      <c r="I21" s="44"/>
      <c r="J21" s="45"/>
      <c r="K21" s="93" t="s">
        <v>263</v>
      </c>
      <c r="L21" s="94"/>
      <c r="R21" s="94"/>
      <c r="S21" s="94"/>
      <c r="T21" s="94"/>
      <c r="U21" s="94"/>
      <c r="V21" s="94"/>
      <c r="W21" s="94"/>
      <c r="X21" s="94"/>
      <c r="Y21" s="94"/>
    </row>
    <row r="22" ht="31.5" customHeight="1">
      <c r="A22" s="89">
        <v>2.0</v>
      </c>
      <c r="B22" s="105" t="s">
        <v>101</v>
      </c>
      <c r="C22" s="106" t="s">
        <v>129</v>
      </c>
      <c r="D22" s="44"/>
      <c r="E22" s="44"/>
      <c r="F22" s="45"/>
      <c r="G22" s="107" t="s">
        <v>103</v>
      </c>
      <c r="H22" s="44"/>
      <c r="I22" s="44"/>
      <c r="J22" s="45"/>
      <c r="K22" s="93" t="s">
        <v>254</v>
      </c>
      <c r="L22" s="94"/>
      <c r="R22" s="94"/>
      <c r="S22" s="94"/>
      <c r="T22" s="94"/>
      <c r="U22" s="94"/>
      <c r="V22" s="94"/>
      <c r="W22" s="94"/>
      <c r="X22" s="94"/>
      <c r="Y22" s="94"/>
    </row>
    <row r="23" ht="31.5" customHeight="1">
      <c r="A23" s="89">
        <v>3.0</v>
      </c>
      <c r="B23" s="105" t="s">
        <v>131</v>
      </c>
      <c r="C23" s="106" t="s">
        <v>132</v>
      </c>
      <c r="D23" s="44"/>
      <c r="E23" s="44"/>
      <c r="F23" s="45"/>
      <c r="G23" s="107" t="s">
        <v>133</v>
      </c>
      <c r="H23" s="44"/>
      <c r="I23" s="44"/>
      <c r="J23" s="45"/>
      <c r="K23" s="93" t="s">
        <v>254</v>
      </c>
      <c r="L23" s="94"/>
      <c r="R23" s="94"/>
      <c r="S23" s="94"/>
      <c r="T23" s="94"/>
      <c r="U23" s="94"/>
      <c r="V23" s="94"/>
      <c r="W23" s="94"/>
      <c r="X23" s="94"/>
      <c r="Y23" s="94"/>
    </row>
    <row r="24" ht="31.5" customHeight="1">
      <c r="A24" s="89">
        <v>4.0</v>
      </c>
      <c r="B24" s="105" t="s">
        <v>137</v>
      </c>
      <c r="C24" s="106" t="s">
        <v>138</v>
      </c>
      <c r="D24" s="44"/>
      <c r="E24" s="44"/>
      <c r="F24" s="45"/>
      <c r="G24" s="107" t="s">
        <v>139</v>
      </c>
      <c r="H24" s="44"/>
      <c r="I24" s="44"/>
      <c r="J24" s="45"/>
      <c r="K24" s="93" t="s">
        <v>254</v>
      </c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</row>
    <row r="25" ht="31.5" customHeight="1">
      <c r="A25" s="89">
        <v>5.0</v>
      </c>
      <c r="B25" s="99"/>
      <c r="C25" s="100"/>
      <c r="D25" s="44"/>
      <c r="E25" s="44"/>
      <c r="F25" s="45"/>
      <c r="G25" s="101"/>
      <c r="H25" s="44"/>
      <c r="I25" s="44"/>
      <c r="J25" s="45"/>
      <c r="K25" s="97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</row>
    <row r="26" ht="31.5" customHeight="1">
      <c r="A26" s="98"/>
      <c r="B26" s="99"/>
      <c r="C26" s="100"/>
      <c r="D26" s="44"/>
      <c r="E26" s="44"/>
      <c r="F26" s="45"/>
      <c r="G26" s="101"/>
      <c r="H26" s="44"/>
      <c r="I26" s="44"/>
      <c r="J26" s="45"/>
      <c r="K26" s="97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</row>
    <row r="27" ht="31.5" customHeight="1">
      <c r="A27" s="89" t="s">
        <v>260</v>
      </c>
      <c r="B27" s="99"/>
      <c r="C27" s="100"/>
      <c r="D27" s="44"/>
      <c r="E27" s="44"/>
      <c r="F27" s="45"/>
      <c r="G27" s="101"/>
      <c r="H27" s="44"/>
      <c r="I27" s="44"/>
      <c r="J27" s="45"/>
      <c r="K27" s="97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</row>
    <row r="28" ht="31.5" customHeight="1">
      <c r="A28" s="102"/>
      <c r="B28" s="102"/>
      <c r="C28" s="102"/>
      <c r="D28" s="102"/>
      <c r="E28" s="102"/>
      <c r="F28" s="102"/>
      <c r="G28" s="103"/>
      <c r="H28" s="103"/>
      <c r="I28" s="103"/>
      <c r="J28" s="103"/>
      <c r="K28" s="103"/>
      <c r="L28" s="77"/>
    </row>
    <row r="29" ht="31.5" customHeight="1">
      <c r="A29" s="108">
        <v>3.0</v>
      </c>
      <c r="B29" s="109" t="s">
        <v>246</v>
      </c>
      <c r="C29" s="110" t="s">
        <v>264</v>
      </c>
      <c r="D29" s="44"/>
      <c r="E29" s="44"/>
      <c r="F29" s="45"/>
      <c r="G29" s="111" t="s">
        <v>248</v>
      </c>
      <c r="H29" s="44"/>
      <c r="I29" s="44"/>
      <c r="J29" s="45"/>
      <c r="K29" s="112" t="s">
        <v>265</v>
      </c>
      <c r="L29" s="113"/>
      <c r="M29" s="95"/>
      <c r="N29" s="95"/>
      <c r="O29" s="95"/>
      <c r="P29" s="95"/>
      <c r="Q29" s="95"/>
      <c r="R29" s="114"/>
      <c r="S29" s="114"/>
      <c r="T29" s="114"/>
      <c r="U29" s="114"/>
      <c r="V29" s="114"/>
      <c r="W29" s="114"/>
      <c r="X29" s="114"/>
      <c r="Y29" s="114"/>
    </row>
    <row r="30" ht="31.5" customHeight="1">
      <c r="A30" s="115" t="s">
        <v>1</v>
      </c>
      <c r="B30" s="115" t="s">
        <v>250</v>
      </c>
      <c r="C30" s="116" t="s">
        <v>251</v>
      </c>
      <c r="D30" s="44"/>
      <c r="E30" s="44"/>
      <c r="F30" s="45"/>
      <c r="G30" s="117" t="s">
        <v>4</v>
      </c>
      <c r="H30" s="44"/>
      <c r="I30" s="44"/>
      <c r="J30" s="45"/>
      <c r="K30" s="118" t="s">
        <v>252</v>
      </c>
      <c r="L30" s="77"/>
    </row>
    <row r="31" ht="31.5" customHeight="1">
      <c r="A31" s="119">
        <v>1.0</v>
      </c>
      <c r="B31" s="105" t="s">
        <v>143</v>
      </c>
      <c r="C31" s="106" t="s">
        <v>144</v>
      </c>
      <c r="D31" s="44"/>
      <c r="E31" s="44"/>
      <c r="F31" s="45"/>
      <c r="G31" s="120" t="s">
        <v>145</v>
      </c>
      <c r="H31" s="44"/>
      <c r="I31" s="44"/>
      <c r="J31" s="45"/>
      <c r="K31" s="121" t="s">
        <v>263</v>
      </c>
      <c r="L31" s="77"/>
    </row>
    <row r="32" ht="31.5" customHeight="1">
      <c r="A32" s="119">
        <v>2.0</v>
      </c>
      <c r="B32" s="105" t="s">
        <v>149</v>
      </c>
      <c r="C32" s="106" t="s">
        <v>150</v>
      </c>
      <c r="D32" s="44"/>
      <c r="E32" s="44"/>
      <c r="F32" s="45"/>
      <c r="G32" s="120" t="s">
        <v>151</v>
      </c>
      <c r="H32" s="44"/>
      <c r="I32" s="44"/>
      <c r="J32" s="45"/>
      <c r="K32" s="121" t="s">
        <v>254</v>
      </c>
      <c r="L32" s="77"/>
    </row>
    <row r="33" ht="31.5" customHeight="1">
      <c r="A33" s="119">
        <v>3.0</v>
      </c>
      <c r="B33" s="105" t="s">
        <v>155</v>
      </c>
      <c r="C33" s="106" t="s">
        <v>156</v>
      </c>
      <c r="D33" s="44"/>
      <c r="E33" s="44"/>
      <c r="F33" s="45"/>
      <c r="G33" s="107">
        <v>25000.0</v>
      </c>
      <c r="H33" s="44"/>
      <c r="I33" s="44"/>
      <c r="J33" s="45"/>
      <c r="K33" s="121" t="s">
        <v>254</v>
      </c>
      <c r="L33" s="77"/>
    </row>
    <row r="34" ht="31.5" customHeight="1">
      <c r="A34" s="119">
        <v>4.0</v>
      </c>
      <c r="B34" s="105" t="s">
        <v>122</v>
      </c>
      <c r="C34" s="106" t="s">
        <v>158</v>
      </c>
      <c r="D34" s="44"/>
      <c r="E34" s="44"/>
      <c r="F34" s="45"/>
      <c r="G34" s="107" t="s">
        <v>125</v>
      </c>
      <c r="H34" s="44"/>
      <c r="I34" s="44"/>
      <c r="J34" s="45"/>
      <c r="K34" s="121" t="s">
        <v>254</v>
      </c>
      <c r="L34" s="77"/>
    </row>
    <row r="35" ht="31.5" customHeight="1">
      <c r="A35" s="119">
        <v>5.0</v>
      </c>
      <c r="B35" s="122"/>
      <c r="C35" s="123"/>
      <c r="D35" s="44"/>
      <c r="E35" s="44"/>
      <c r="F35" s="45"/>
      <c r="G35" s="124"/>
      <c r="H35" s="44"/>
      <c r="I35" s="44"/>
      <c r="J35" s="45"/>
      <c r="K35" s="125"/>
      <c r="L35" s="77"/>
    </row>
    <row r="36" ht="31.5" customHeight="1">
      <c r="A36" s="122"/>
      <c r="B36" s="122"/>
      <c r="C36" s="123"/>
      <c r="D36" s="44"/>
      <c r="E36" s="44"/>
      <c r="F36" s="45"/>
      <c r="G36" s="124"/>
      <c r="H36" s="44"/>
      <c r="I36" s="44"/>
      <c r="J36" s="45"/>
      <c r="K36" s="125"/>
      <c r="L36" s="77"/>
    </row>
    <row r="37" ht="31.5" customHeight="1">
      <c r="A37" s="119" t="s">
        <v>260</v>
      </c>
      <c r="B37" s="122"/>
      <c r="C37" s="123"/>
      <c r="D37" s="44"/>
      <c r="E37" s="44"/>
      <c r="F37" s="45"/>
      <c r="G37" s="124"/>
      <c r="H37" s="44"/>
      <c r="I37" s="44"/>
      <c r="J37" s="45"/>
      <c r="K37" s="125"/>
      <c r="L37" s="77"/>
    </row>
    <row r="38" ht="31.5" customHeight="1">
      <c r="A38" s="77"/>
      <c r="B38" s="77"/>
      <c r="C38" s="77"/>
      <c r="D38" s="77"/>
      <c r="E38" s="77"/>
      <c r="F38" s="77"/>
      <c r="G38" s="126"/>
      <c r="H38" s="126"/>
      <c r="I38" s="126"/>
      <c r="J38" s="126"/>
      <c r="K38" s="126"/>
      <c r="L38" s="77"/>
    </row>
    <row r="39" ht="31.5" customHeight="1">
      <c r="A39" s="108">
        <v>4.0</v>
      </c>
      <c r="B39" s="116" t="s">
        <v>246</v>
      </c>
      <c r="C39" s="110" t="s">
        <v>266</v>
      </c>
      <c r="D39" s="44"/>
      <c r="E39" s="44"/>
      <c r="F39" s="45"/>
      <c r="G39" s="117" t="s">
        <v>248</v>
      </c>
      <c r="H39" s="44"/>
      <c r="I39" s="44"/>
      <c r="J39" s="45"/>
      <c r="K39" s="112" t="s">
        <v>267</v>
      </c>
      <c r="L39" s="77"/>
    </row>
    <row r="40" ht="31.5" customHeight="1">
      <c r="A40" s="115" t="s">
        <v>1</v>
      </c>
      <c r="B40" s="115" t="s">
        <v>250</v>
      </c>
      <c r="C40" s="116" t="s">
        <v>251</v>
      </c>
      <c r="D40" s="44"/>
      <c r="E40" s="44"/>
      <c r="F40" s="45"/>
      <c r="G40" s="117" t="s">
        <v>4</v>
      </c>
      <c r="H40" s="44"/>
      <c r="I40" s="44"/>
      <c r="J40" s="45"/>
      <c r="K40" s="118" t="s">
        <v>252</v>
      </c>
      <c r="L40" s="77"/>
      <c r="N40" s="95"/>
      <c r="O40" s="95"/>
      <c r="P40" s="95"/>
      <c r="Q40" s="95"/>
      <c r="R40" s="95"/>
    </row>
    <row r="41" ht="31.5" customHeight="1">
      <c r="A41" s="119">
        <v>1.0</v>
      </c>
      <c r="B41" s="105" t="s">
        <v>160</v>
      </c>
      <c r="C41" s="106" t="s">
        <v>161</v>
      </c>
      <c r="D41" s="44"/>
      <c r="E41" s="44"/>
      <c r="F41" s="45"/>
      <c r="G41" s="107" t="s">
        <v>162</v>
      </c>
      <c r="H41" s="44"/>
      <c r="I41" s="44"/>
      <c r="J41" s="45"/>
      <c r="K41" s="121" t="s">
        <v>263</v>
      </c>
      <c r="L41" s="77"/>
    </row>
    <row r="42" ht="31.5" customHeight="1">
      <c r="A42" s="119">
        <v>2.0</v>
      </c>
      <c r="B42" s="105" t="s">
        <v>166</v>
      </c>
      <c r="C42" s="106" t="s">
        <v>167</v>
      </c>
      <c r="D42" s="44"/>
      <c r="E42" s="44"/>
      <c r="F42" s="45"/>
      <c r="G42" s="107" t="s">
        <v>168</v>
      </c>
      <c r="H42" s="44"/>
      <c r="I42" s="44"/>
      <c r="J42" s="45"/>
      <c r="K42" s="121" t="s">
        <v>254</v>
      </c>
      <c r="L42" s="77"/>
    </row>
    <row r="43" ht="31.5" customHeight="1">
      <c r="A43" s="119">
        <v>3.0</v>
      </c>
      <c r="B43" s="105" t="s">
        <v>122</v>
      </c>
      <c r="C43" s="106" t="s">
        <v>172</v>
      </c>
      <c r="D43" s="44"/>
      <c r="E43" s="44"/>
      <c r="F43" s="45"/>
      <c r="G43" s="107" t="s">
        <v>125</v>
      </c>
      <c r="H43" s="44"/>
      <c r="I43" s="44"/>
      <c r="J43" s="45"/>
      <c r="K43" s="121" t="s">
        <v>268</v>
      </c>
      <c r="L43" s="77"/>
    </row>
    <row r="44" ht="31.5" customHeight="1">
      <c r="A44" s="119">
        <v>4.0</v>
      </c>
      <c r="B44" s="122"/>
      <c r="C44" s="123"/>
      <c r="D44" s="44"/>
      <c r="E44" s="44"/>
      <c r="F44" s="45"/>
      <c r="G44" s="124"/>
      <c r="H44" s="44"/>
      <c r="I44" s="44"/>
      <c r="J44" s="45"/>
      <c r="K44" s="125"/>
      <c r="L44" s="77"/>
    </row>
    <row r="45" ht="31.5" customHeight="1">
      <c r="A45" s="119">
        <v>5.0</v>
      </c>
      <c r="B45" s="122"/>
      <c r="C45" s="123"/>
      <c r="D45" s="44"/>
      <c r="E45" s="44"/>
      <c r="F45" s="45"/>
      <c r="G45" s="124"/>
      <c r="H45" s="44"/>
      <c r="I45" s="44"/>
      <c r="J45" s="45"/>
      <c r="K45" s="125"/>
      <c r="L45" s="77"/>
    </row>
    <row r="46" ht="31.5" customHeight="1">
      <c r="A46" s="122"/>
      <c r="B46" s="122"/>
      <c r="C46" s="123"/>
      <c r="D46" s="44"/>
      <c r="E46" s="44"/>
      <c r="F46" s="45"/>
      <c r="G46" s="124"/>
      <c r="H46" s="44"/>
      <c r="I46" s="44"/>
      <c r="J46" s="45"/>
      <c r="K46" s="125"/>
      <c r="L46" s="77"/>
    </row>
    <row r="47" ht="31.5" customHeight="1">
      <c r="A47" s="119" t="s">
        <v>260</v>
      </c>
      <c r="B47" s="122"/>
      <c r="C47" s="123"/>
      <c r="D47" s="44"/>
      <c r="E47" s="44"/>
      <c r="F47" s="45"/>
      <c r="G47" s="124"/>
      <c r="H47" s="44"/>
      <c r="I47" s="44"/>
      <c r="J47" s="45"/>
      <c r="K47" s="125"/>
      <c r="L47" s="77"/>
    </row>
    <row r="48" ht="31.5" customHeight="1">
      <c r="A48" s="77"/>
      <c r="B48" s="77"/>
      <c r="C48" s="77"/>
      <c r="D48" s="77"/>
      <c r="E48" s="77"/>
      <c r="F48" s="77"/>
      <c r="G48" s="126"/>
      <c r="H48" s="126"/>
      <c r="I48" s="126"/>
      <c r="J48" s="126"/>
      <c r="K48" s="126"/>
      <c r="L48" s="77"/>
    </row>
    <row r="49" ht="31.5" customHeight="1">
      <c r="A49" s="108">
        <v>5.0</v>
      </c>
      <c r="B49" s="115" t="s">
        <v>246</v>
      </c>
      <c r="C49" s="110" t="s">
        <v>269</v>
      </c>
      <c r="D49" s="44"/>
      <c r="E49" s="44"/>
      <c r="F49" s="45"/>
      <c r="G49" s="117" t="s">
        <v>248</v>
      </c>
      <c r="H49" s="44"/>
      <c r="I49" s="44"/>
      <c r="J49" s="45"/>
      <c r="K49" s="112" t="s">
        <v>270</v>
      </c>
      <c r="L49" s="77"/>
    </row>
    <row r="50" ht="31.5" customHeight="1">
      <c r="A50" s="115" t="s">
        <v>1</v>
      </c>
      <c r="B50" s="115" t="s">
        <v>250</v>
      </c>
      <c r="C50" s="116" t="s">
        <v>251</v>
      </c>
      <c r="D50" s="44"/>
      <c r="E50" s="44"/>
      <c r="F50" s="45"/>
      <c r="G50" s="117" t="s">
        <v>4</v>
      </c>
      <c r="H50" s="44"/>
      <c r="I50" s="44"/>
      <c r="J50" s="45"/>
      <c r="K50" s="118" t="s">
        <v>252</v>
      </c>
      <c r="L50" s="77"/>
      <c r="M50" s="95"/>
      <c r="N50" s="95"/>
      <c r="O50" s="95"/>
      <c r="P50" s="95"/>
      <c r="Q50" s="95"/>
    </row>
    <row r="51" ht="31.5" customHeight="1">
      <c r="A51" s="119">
        <v>1.0</v>
      </c>
      <c r="B51" s="105" t="s">
        <v>174</v>
      </c>
      <c r="C51" s="106" t="s">
        <v>175</v>
      </c>
      <c r="D51" s="44"/>
      <c r="E51" s="44"/>
      <c r="F51" s="45"/>
      <c r="G51" s="107" t="s">
        <v>177</v>
      </c>
      <c r="H51" s="44"/>
      <c r="I51" s="44"/>
      <c r="J51" s="45"/>
      <c r="K51" s="127" t="s">
        <v>263</v>
      </c>
      <c r="L51" s="77"/>
    </row>
    <row r="52" ht="31.5" customHeight="1">
      <c r="A52" s="119">
        <v>2.0</v>
      </c>
      <c r="B52" s="105" t="s">
        <v>181</v>
      </c>
      <c r="C52" s="106" t="s">
        <v>182</v>
      </c>
      <c r="D52" s="44"/>
      <c r="E52" s="44"/>
      <c r="F52" s="45"/>
      <c r="G52" s="107" t="s">
        <v>183</v>
      </c>
      <c r="H52" s="44"/>
      <c r="I52" s="44"/>
      <c r="J52" s="45"/>
      <c r="K52" s="127" t="s">
        <v>254</v>
      </c>
      <c r="L52" s="77"/>
    </row>
    <row r="53" ht="31.5" customHeight="1">
      <c r="A53" s="119">
        <v>3.0</v>
      </c>
      <c r="B53" s="105" t="s">
        <v>187</v>
      </c>
      <c r="C53" s="106" t="s">
        <v>188</v>
      </c>
      <c r="D53" s="44"/>
      <c r="E53" s="44"/>
      <c r="F53" s="45"/>
      <c r="G53" s="128">
        <v>45361.0</v>
      </c>
      <c r="H53" s="44"/>
      <c r="I53" s="44"/>
      <c r="J53" s="45"/>
      <c r="K53" s="127" t="s">
        <v>254</v>
      </c>
      <c r="L53" s="77"/>
      <c r="P53" s="129"/>
    </row>
    <row r="54" ht="31.5" customHeight="1">
      <c r="A54" s="119">
        <v>4.0</v>
      </c>
      <c r="B54" s="105" t="s">
        <v>160</v>
      </c>
      <c r="C54" s="106" t="s">
        <v>190</v>
      </c>
      <c r="D54" s="44"/>
      <c r="E54" s="44"/>
      <c r="F54" s="45"/>
      <c r="G54" s="107" t="s">
        <v>162</v>
      </c>
      <c r="H54" s="44"/>
      <c r="I54" s="44"/>
      <c r="J54" s="45"/>
      <c r="K54" s="127" t="s">
        <v>268</v>
      </c>
      <c r="L54" s="77"/>
    </row>
    <row r="55" ht="31.5" customHeight="1">
      <c r="A55" s="119">
        <v>5.0</v>
      </c>
      <c r="B55" s="122"/>
      <c r="C55" s="123"/>
      <c r="D55" s="44"/>
      <c r="E55" s="44"/>
      <c r="F55" s="45"/>
      <c r="G55" s="124"/>
      <c r="H55" s="44"/>
      <c r="I55" s="44"/>
      <c r="J55" s="45"/>
      <c r="K55" s="125"/>
      <c r="L55" s="77"/>
    </row>
    <row r="56" ht="31.5" customHeight="1">
      <c r="A56" s="122"/>
      <c r="B56" s="122"/>
      <c r="C56" s="123"/>
      <c r="D56" s="44"/>
      <c r="E56" s="44"/>
      <c r="F56" s="45"/>
      <c r="G56" s="124"/>
      <c r="H56" s="44"/>
      <c r="I56" s="44"/>
      <c r="J56" s="45"/>
      <c r="K56" s="125"/>
      <c r="L56" s="77"/>
    </row>
    <row r="57" ht="31.5" customHeight="1">
      <c r="A57" s="119" t="s">
        <v>260</v>
      </c>
      <c r="B57" s="122"/>
      <c r="C57" s="123"/>
      <c r="D57" s="44"/>
      <c r="E57" s="44"/>
      <c r="F57" s="45"/>
      <c r="G57" s="124"/>
      <c r="H57" s="44"/>
      <c r="I57" s="44"/>
      <c r="J57" s="45"/>
      <c r="K57" s="125"/>
      <c r="L57" s="77"/>
    </row>
    <row r="58" ht="31.5" customHeight="1">
      <c r="A58" s="77"/>
      <c r="B58" s="77"/>
      <c r="C58" s="77"/>
      <c r="D58" s="77"/>
      <c r="E58" s="77"/>
      <c r="F58" s="77"/>
      <c r="G58" s="126"/>
      <c r="H58" s="126"/>
      <c r="I58" s="126"/>
      <c r="J58" s="126"/>
      <c r="K58" s="126"/>
      <c r="L58" s="77"/>
    </row>
    <row r="59" ht="31.5" customHeight="1">
      <c r="A59" s="108">
        <v>6.0</v>
      </c>
      <c r="B59" s="116" t="s">
        <v>246</v>
      </c>
      <c r="C59" s="110" t="s">
        <v>271</v>
      </c>
      <c r="D59" s="44"/>
      <c r="E59" s="44"/>
      <c r="F59" s="45"/>
      <c r="G59" s="117" t="s">
        <v>248</v>
      </c>
      <c r="H59" s="44"/>
      <c r="I59" s="44"/>
      <c r="J59" s="45"/>
      <c r="K59" s="112" t="s">
        <v>272</v>
      </c>
      <c r="L59" s="77"/>
    </row>
    <row r="60" ht="31.5" customHeight="1">
      <c r="A60" s="115" t="s">
        <v>1</v>
      </c>
      <c r="B60" s="115" t="s">
        <v>250</v>
      </c>
      <c r="C60" s="116" t="s">
        <v>251</v>
      </c>
      <c r="D60" s="44"/>
      <c r="E60" s="44"/>
      <c r="F60" s="45"/>
      <c r="G60" s="117" t="s">
        <v>4</v>
      </c>
      <c r="H60" s="44"/>
      <c r="I60" s="44"/>
      <c r="J60" s="45"/>
      <c r="K60" s="118" t="s">
        <v>252</v>
      </c>
      <c r="L60" s="77"/>
    </row>
    <row r="61" ht="31.5" customHeight="1">
      <c r="A61" s="119">
        <v>1.0</v>
      </c>
      <c r="B61" s="105" t="s">
        <v>192</v>
      </c>
      <c r="C61" s="106" t="s">
        <v>193</v>
      </c>
      <c r="D61" s="44"/>
      <c r="E61" s="44"/>
      <c r="F61" s="45"/>
      <c r="G61" s="107" t="s">
        <v>194</v>
      </c>
      <c r="H61" s="44"/>
      <c r="I61" s="44"/>
      <c r="J61" s="45"/>
      <c r="K61" s="127" t="s">
        <v>263</v>
      </c>
      <c r="L61" s="77"/>
      <c r="M61" s="95"/>
      <c r="N61" s="95"/>
      <c r="O61" s="95"/>
      <c r="P61" s="95"/>
      <c r="Q61" s="95"/>
    </row>
    <row r="62" ht="31.5" customHeight="1">
      <c r="A62" s="119">
        <v>2.0</v>
      </c>
      <c r="B62" s="105" t="s">
        <v>198</v>
      </c>
      <c r="C62" s="106" t="s">
        <v>199</v>
      </c>
      <c r="D62" s="44"/>
      <c r="E62" s="44"/>
      <c r="F62" s="45"/>
      <c r="G62" s="128">
        <v>45787.0</v>
      </c>
      <c r="H62" s="44"/>
      <c r="I62" s="44"/>
      <c r="J62" s="45"/>
      <c r="K62" s="127" t="s">
        <v>254</v>
      </c>
      <c r="L62" s="77"/>
    </row>
    <row r="63" ht="31.5" customHeight="1">
      <c r="A63" s="119">
        <v>3.0</v>
      </c>
      <c r="B63" s="105" t="s">
        <v>201</v>
      </c>
      <c r="C63" s="106" t="s">
        <v>202</v>
      </c>
      <c r="D63" s="44"/>
      <c r="E63" s="44"/>
      <c r="F63" s="45"/>
      <c r="G63" s="107" t="s">
        <v>203</v>
      </c>
      <c r="H63" s="44"/>
      <c r="I63" s="44"/>
      <c r="J63" s="45"/>
      <c r="K63" s="127" t="s">
        <v>254</v>
      </c>
      <c r="L63" s="77"/>
      <c r="P63" s="129"/>
    </row>
    <row r="64" ht="31.5" customHeight="1">
      <c r="A64" s="119">
        <v>4.0</v>
      </c>
      <c r="B64" s="105" t="s">
        <v>101</v>
      </c>
      <c r="C64" s="106" t="s">
        <v>207</v>
      </c>
      <c r="D64" s="44"/>
      <c r="E64" s="44"/>
      <c r="F64" s="45"/>
      <c r="G64" s="107" t="s">
        <v>103</v>
      </c>
      <c r="H64" s="44"/>
      <c r="I64" s="44"/>
      <c r="J64" s="45"/>
      <c r="K64" s="127" t="s">
        <v>268</v>
      </c>
      <c r="L64" s="77"/>
    </row>
    <row r="65" ht="31.5" customHeight="1">
      <c r="A65" s="119">
        <v>5.0</v>
      </c>
      <c r="B65" s="122"/>
      <c r="C65" s="123"/>
      <c r="D65" s="44"/>
      <c r="E65" s="44"/>
      <c r="F65" s="45"/>
      <c r="G65" s="124"/>
      <c r="H65" s="44"/>
      <c r="I65" s="44"/>
      <c r="J65" s="45"/>
      <c r="K65" s="125"/>
      <c r="L65" s="77"/>
    </row>
    <row r="66" ht="31.5" customHeight="1">
      <c r="A66" s="122"/>
      <c r="B66" s="122"/>
      <c r="C66" s="123"/>
      <c r="D66" s="44"/>
      <c r="E66" s="44"/>
      <c r="F66" s="45"/>
      <c r="G66" s="124"/>
      <c r="H66" s="44"/>
      <c r="I66" s="44"/>
      <c r="J66" s="45"/>
      <c r="K66" s="125"/>
      <c r="L66" s="77"/>
    </row>
    <row r="67" ht="31.5" customHeight="1">
      <c r="A67" s="119" t="s">
        <v>260</v>
      </c>
      <c r="B67" s="122"/>
      <c r="C67" s="123"/>
      <c r="D67" s="44"/>
      <c r="E67" s="44"/>
      <c r="F67" s="45"/>
      <c r="G67" s="124"/>
      <c r="H67" s="44"/>
      <c r="I67" s="44"/>
      <c r="J67" s="45"/>
      <c r="K67" s="125"/>
      <c r="L67" s="77"/>
    </row>
    <row r="68" ht="31.5" customHeight="1">
      <c r="A68" s="77"/>
      <c r="B68" s="77"/>
      <c r="C68" s="77"/>
      <c r="D68" s="77"/>
      <c r="E68" s="77"/>
      <c r="F68" s="77"/>
      <c r="G68" s="126"/>
      <c r="H68" s="126"/>
      <c r="I68" s="126"/>
      <c r="J68" s="126"/>
      <c r="K68" s="126"/>
      <c r="L68" s="77"/>
    </row>
    <row r="69" ht="31.5" customHeight="1">
      <c r="A69" s="108">
        <v>7.0</v>
      </c>
      <c r="B69" s="116" t="s">
        <v>246</v>
      </c>
      <c r="C69" s="110" t="s">
        <v>211</v>
      </c>
      <c r="D69" s="44"/>
      <c r="E69" s="44"/>
      <c r="F69" s="45"/>
      <c r="G69" s="117" t="s">
        <v>248</v>
      </c>
      <c r="H69" s="44"/>
      <c r="I69" s="44"/>
      <c r="J69" s="45"/>
      <c r="K69" s="112" t="s">
        <v>273</v>
      </c>
      <c r="L69" s="77"/>
      <c r="M69" s="95"/>
      <c r="N69" s="95"/>
      <c r="O69" s="95"/>
      <c r="P69" s="95"/>
      <c r="Q69" s="95"/>
    </row>
    <row r="70" ht="31.5" customHeight="1">
      <c r="A70" s="115" t="s">
        <v>1</v>
      </c>
      <c r="B70" s="115" t="s">
        <v>250</v>
      </c>
      <c r="C70" s="116" t="s">
        <v>251</v>
      </c>
      <c r="D70" s="44"/>
      <c r="E70" s="44"/>
      <c r="F70" s="45"/>
      <c r="G70" s="117" t="s">
        <v>4</v>
      </c>
      <c r="H70" s="44"/>
      <c r="I70" s="44"/>
      <c r="J70" s="45"/>
      <c r="K70" s="118" t="s">
        <v>252</v>
      </c>
      <c r="L70" s="77"/>
    </row>
    <row r="71" ht="31.5" customHeight="1">
      <c r="A71" s="119">
        <v>1.0</v>
      </c>
      <c r="B71" s="105" t="s">
        <v>209</v>
      </c>
      <c r="C71" s="106" t="s">
        <v>210</v>
      </c>
      <c r="D71" s="44"/>
      <c r="E71" s="44"/>
      <c r="F71" s="45"/>
      <c r="G71" s="107" t="s">
        <v>212</v>
      </c>
      <c r="H71" s="44"/>
      <c r="I71" s="44"/>
      <c r="J71" s="45"/>
      <c r="K71" s="127" t="s">
        <v>263</v>
      </c>
      <c r="L71" s="77"/>
    </row>
    <row r="72" ht="31.5" customHeight="1">
      <c r="A72" s="119">
        <v>2.0</v>
      </c>
      <c r="B72" s="105" t="s">
        <v>192</v>
      </c>
      <c r="C72" s="106" t="s">
        <v>216</v>
      </c>
      <c r="D72" s="44"/>
      <c r="E72" s="44"/>
      <c r="F72" s="45"/>
      <c r="G72" s="107" t="s">
        <v>194</v>
      </c>
      <c r="H72" s="44"/>
      <c r="I72" s="44"/>
      <c r="J72" s="45"/>
      <c r="K72" s="127" t="s">
        <v>268</v>
      </c>
      <c r="L72" s="77"/>
    </row>
    <row r="73" ht="31.5" customHeight="1">
      <c r="A73" s="119">
        <v>3.0</v>
      </c>
      <c r="B73" s="105" t="s">
        <v>143</v>
      </c>
      <c r="C73" s="106" t="s">
        <v>218</v>
      </c>
      <c r="D73" s="44"/>
      <c r="E73" s="44"/>
      <c r="F73" s="45"/>
      <c r="G73" s="107" t="s">
        <v>145</v>
      </c>
      <c r="H73" s="44"/>
      <c r="I73" s="44"/>
      <c r="J73" s="45"/>
      <c r="K73" s="127" t="s">
        <v>268</v>
      </c>
      <c r="L73" s="77"/>
    </row>
    <row r="74" ht="31.5" customHeight="1">
      <c r="A74" s="119">
        <v>4.0</v>
      </c>
      <c r="B74" s="105" t="s">
        <v>220</v>
      </c>
      <c r="C74" s="106" t="s">
        <v>221</v>
      </c>
      <c r="D74" s="44"/>
      <c r="E74" s="44"/>
      <c r="F74" s="45"/>
      <c r="G74" s="107">
        <v>2.0</v>
      </c>
      <c r="H74" s="44"/>
      <c r="I74" s="44"/>
      <c r="J74" s="45"/>
      <c r="K74" s="127" t="s">
        <v>254</v>
      </c>
      <c r="L74" s="77"/>
    </row>
    <row r="75" ht="31.5" customHeight="1">
      <c r="A75" s="119">
        <v>5.0</v>
      </c>
      <c r="B75" s="105" t="s">
        <v>223</v>
      </c>
      <c r="C75" s="106" t="s">
        <v>224</v>
      </c>
      <c r="D75" s="44"/>
      <c r="E75" s="44"/>
      <c r="F75" s="45"/>
      <c r="G75" s="107">
        <v>25000.0</v>
      </c>
      <c r="H75" s="44"/>
      <c r="I75" s="44"/>
      <c r="J75" s="45"/>
      <c r="K75" s="127" t="s">
        <v>254</v>
      </c>
      <c r="L75" s="77"/>
    </row>
    <row r="76" ht="31.5" customHeight="1">
      <c r="A76" s="122"/>
      <c r="B76" s="122"/>
      <c r="C76" s="123"/>
      <c r="D76" s="44"/>
      <c r="E76" s="44"/>
      <c r="F76" s="45"/>
      <c r="G76" s="124"/>
      <c r="H76" s="44"/>
      <c r="I76" s="44"/>
      <c r="J76" s="45"/>
      <c r="K76" s="125"/>
      <c r="L76" s="77"/>
    </row>
    <row r="77" ht="31.5" customHeight="1">
      <c r="A77" s="119" t="s">
        <v>260</v>
      </c>
      <c r="B77" s="122"/>
      <c r="C77" s="123"/>
      <c r="D77" s="44"/>
      <c r="E77" s="44"/>
      <c r="F77" s="45"/>
      <c r="G77" s="124"/>
      <c r="H77" s="44"/>
      <c r="I77" s="44"/>
      <c r="J77" s="45"/>
      <c r="K77" s="125"/>
      <c r="L77" s="77"/>
    </row>
    <row r="78" ht="31.5" customHeight="1"/>
    <row r="79" ht="31.5" customHeight="1"/>
    <row r="80" ht="31.5" customHeight="1"/>
    <row r="81" ht="31.5" customHeight="1"/>
    <row r="82" ht="31.5" customHeight="1"/>
    <row r="83" ht="31.5" customHeight="1"/>
    <row r="84" ht="31.5" customHeight="1"/>
    <row r="85" ht="31.5" customHeight="1"/>
    <row r="86" ht="31.5" customHeight="1"/>
    <row r="87" ht="31.5" customHeight="1"/>
    <row r="88" ht="31.5" customHeight="1"/>
    <row r="89" ht="31.5" customHeight="1"/>
    <row r="90" ht="31.5" customHeight="1"/>
    <row r="91" ht="31.5" customHeight="1"/>
    <row r="92" ht="31.5" customHeight="1"/>
    <row r="93" ht="31.5" customHeight="1"/>
    <row r="94" ht="31.5" customHeight="1"/>
    <row r="95" ht="31.5" customHeight="1"/>
    <row r="96" ht="31.5" customHeight="1"/>
    <row r="97" ht="31.5" customHeight="1"/>
    <row r="98" ht="31.5" customHeight="1"/>
    <row r="99" ht="31.5" customHeight="1"/>
    <row r="100" ht="31.5" customHeight="1"/>
    <row r="101" ht="31.5" customHeight="1"/>
    <row r="102" ht="31.5" customHeight="1"/>
    <row r="103" ht="31.5" customHeight="1"/>
    <row r="104" ht="31.5" customHeight="1"/>
    <row r="105" ht="31.5" customHeight="1"/>
    <row r="106" ht="31.5" customHeight="1"/>
    <row r="107" ht="31.5" customHeight="1"/>
    <row r="108" ht="31.5" customHeight="1"/>
    <row r="109" ht="31.5" customHeight="1"/>
    <row r="110" ht="31.5" customHeight="1"/>
    <row r="111" ht="31.5" customHeight="1"/>
    <row r="112" ht="31.5" customHeight="1"/>
    <row r="113" ht="31.5" customHeight="1"/>
    <row r="114" ht="31.5" customHeight="1"/>
    <row r="115" ht="31.5" customHeight="1"/>
    <row r="116" ht="31.5" customHeight="1"/>
    <row r="117" ht="31.5" customHeight="1"/>
    <row r="118" ht="31.5" customHeight="1"/>
    <row r="119" ht="31.5" customHeight="1"/>
    <row r="120" ht="31.5" customHeight="1"/>
    <row r="121" ht="31.5" customHeight="1"/>
    <row r="122" ht="31.5" customHeight="1"/>
    <row r="123" ht="31.5" customHeight="1"/>
    <row r="124" ht="31.5" customHeight="1"/>
    <row r="125" ht="31.5" customHeight="1"/>
    <row r="126" ht="31.5" customHeight="1"/>
    <row r="127" ht="31.5" customHeight="1"/>
    <row r="128" ht="31.5" customHeight="1"/>
    <row r="129" ht="31.5" customHeight="1"/>
    <row r="130" ht="31.5" customHeight="1"/>
    <row r="131" ht="31.5" customHeight="1"/>
    <row r="132" ht="31.5" customHeight="1"/>
    <row r="133" ht="31.5" customHeight="1"/>
    <row r="134" ht="31.5" customHeight="1"/>
    <row r="135" ht="31.5" customHeight="1"/>
    <row r="136" ht="31.5" customHeight="1"/>
    <row r="137" ht="31.5" customHeight="1"/>
    <row r="138" ht="31.5" customHeight="1"/>
    <row r="139" ht="31.5" customHeight="1"/>
    <row r="140" ht="31.5" customHeight="1"/>
    <row r="141" ht="31.5" customHeight="1"/>
    <row r="142" ht="31.5" customHeight="1"/>
    <row r="143" ht="31.5" customHeight="1"/>
    <row r="144" ht="31.5" customHeight="1"/>
    <row r="145" ht="31.5" customHeight="1"/>
    <row r="146" ht="31.5" customHeight="1"/>
    <row r="147" ht="31.5" customHeight="1"/>
    <row r="148" ht="31.5" customHeight="1"/>
    <row r="149" ht="31.5" customHeight="1"/>
    <row r="150" ht="31.5" customHeight="1"/>
    <row r="151" ht="31.5" customHeight="1"/>
    <row r="152" ht="31.5" customHeight="1"/>
    <row r="153" ht="31.5" customHeight="1"/>
    <row r="154" ht="31.5" customHeight="1"/>
    <row r="155" ht="31.5" customHeight="1"/>
    <row r="156" ht="31.5" customHeight="1"/>
    <row r="157" ht="31.5" customHeight="1"/>
    <row r="158" ht="31.5" customHeight="1"/>
    <row r="159" ht="31.5" customHeight="1"/>
    <row r="160" ht="31.5" customHeight="1"/>
    <row r="161" ht="31.5" customHeight="1"/>
    <row r="162" ht="31.5" customHeight="1"/>
    <row r="163" ht="31.5" customHeight="1"/>
    <row r="164" ht="31.5" customHeight="1"/>
    <row r="165" ht="31.5" customHeight="1"/>
    <row r="166" ht="31.5" customHeight="1"/>
    <row r="167" ht="31.5" customHeight="1"/>
    <row r="168" ht="31.5" customHeight="1"/>
    <row r="169" ht="31.5" customHeight="1"/>
    <row r="170" ht="31.5" customHeight="1"/>
    <row r="171" ht="31.5" customHeight="1"/>
    <row r="172" ht="31.5" customHeight="1"/>
    <row r="173" ht="31.5" customHeight="1"/>
    <row r="174" ht="31.5" customHeight="1"/>
    <row r="175" ht="31.5" customHeight="1"/>
    <row r="176" ht="31.5" customHeight="1"/>
    <row r="177" ht="31.5" customHeight="1"/>
    <row r="178" ht="31.5" customHeight="1"/>
    <row r="179" ht="31.5" customHeight="1"/>
    <row r="180" ht="31.5" customHeight="1"/>
    <row r="181" ht="31.5" customHeight="1"/>
    <row r="182" ht="31.5" customHeight="1"/>
    <row r="183" ht="31.5" customHeight="1"/>
    <row r="184" ht="31.5" customHeight="1"/>
    <row r="185" ht="31.5" customHeight="1"/>
    <row r="186" ht="31.5" customHeight="1"/>
    <row r="187" ht="31.5" customHeight="1"/>
    <row r="188" ht="31.5" customHeight="1"/>
    <row r="189" ht="31.5" customHeight="1"/>
    <row r="190" ht="31.5" customHeight="1"/>
    <row r="191" ht="31.5" customHeight="1"/>
    <row r="192" ht="31.5" customHeight="1"/>
    <row r="193" ht="31.5" customHeight="1"/>
    <row r="194" ht="31.5" customHeight="1"/>
    <row r="195" ht="31.5" customHeight="1"/>
    <row r="196" ht="31.5" customHeight="1"/>
    <row r="197" ht="31.5" customHeight="1"/>
    <row r="198" ht="31.5" customHeight="1"/>
    <row r="199" ht="31.5" customHeight="1"/>
    <row r="200" ht="31.5" customHeight="1"/>
    <row r="201" ht="31.5" customHeight="1"/>
    <row r="202" ht="31.5" customHeight="1"/>
    <row r="203" ht="31.5" customHeight="1"/>
    <row r="204" ht="31.5" customHeight="1"/>
    <row r="205" ht="31.5" customHeight="1"/>
    <row r="206" ht="31.5" customHeight="1"/>
    <row r="207" ht="31.5" customHeight="1"/>
    <row r="208" ht="31.5" customHeight="1"/>
    <row r="209" ht="31.5" customHeight="1"/>
    <row r="210" ht="31.5" customHeight="1"/>
    <row r="211" ht="31.5" customHeight="1"/>
    <row r="212" ht="31.5" customHeight="1"/>
    <row r="213" ht="31.5" customHeight="1"/>
    <row r="214" ht="31.5" customHeight="1"/>
    <row r="215" ht="31.5" customHeight="1"/>
    <row r="216" ht="31.5" customHeight="1"/>
    <row r="217" ht="31.5" customHeight="1"/>
    <row r="218" ht="31.5" customHeight="1"/>
    <row r="219" ht="31.5" customHeight="1"/>
    <row r="220" ht="31.5" customHeight="1"/>
    <row r="221" ht="31.5" customHeight="1"/>
    <row r="222" ht="31.5" customHeight="1"/>
    <row r="223" ht="31.5" customHeight="1"/>
    <row r="224" ht="31.5" customHeight="1"/>
    <row r="225" ht="31.5" customHeight="1"/>
    <row r="226" ht="31.5" customHeight="1"/>
    <row r="227" ht="31.5" customHeight="1"/>
    <row r="228" ht="31.5" customHeight="1"/>
    <row r="229" ht="31.5" customHeight="1"/>
    <row r="230" ht="31.5" customHeight="1"/>
    <row r="231" ht="31.5" customHeight="1"/>
    <row r="232" ht="31.5" customHeight="1"/>
    <row r="233" ht="31.5" customHeight="1"/>
    <row r="234" ht="31.5" customHeight="1"/>
    <row r="235" ht="31.5" customHeight="1"/>
    <row r="236" ht="31.5" customHeight="1"/>
    <row r="237" ht="31.5" customHeight="1"/>
    <row r="238" ht="31.5" customHeight="1"/>
    <row r="239" ht="31.5" customHeight="1"/>
    <row r="240" ht="31.5" customHeight="1"/>
    <row r="241" ht="31.5" customHeight="1"/>
    <row r="242" ht="31.5" customHeight="1"/>
    <row r="243" ht="31.5" customHeight="1"/>
    <row r="244" ht="31.5" customHeight="1"/>
    <row r="245" ht="31.5" customHeight="1"/>
    <row r="246" ht="31.5" customHeight="1"/>
    <row r="247" ht="31.5" customHeight="1"/>
    <row r="248" ht="31.5" customHeight="1"/>
    <row r="249" ht="31.5" customHeight="1"/>
    <row r="250" ht="31.5" customHeight="1"/>
    <row r="251" ht="31.5" customHeight="1"/>
    <row r="252" ht="31.5" customHeight="1"/>
    <row r="253" ht="31.5" customHeight="1"/>
    <row r="254" ht="31.5" customHeight="1"/>
    <row r="255" ht="31.5" customHeight="1"/>
    <row r="256" ht="31.5" customHeight="1"/>
    <row r="257" ht="31.5" customHeight="1"/>
    <row r="258" ht="31.5" customHeight="1"/>
    <row r="259" ht="31.5" customHeight="1"/>
    <row r="260" ht="31.5" customHeight="1"/>
    <row r="261" ht="31.5" customHeight="1"/>
    <row r="262" ht="31.5" customHeight="1"/>
    <row r="263" ht="31.5" customHeight="1"/>
    <row r="264" ht="31.5" customHeight="1"/>
    <row r="265" ht="31.5" customHeight="1"/>
    <row r="266" ht="31.5" customHeight="1"/>
    <row r="267" ht="31.5" customHeight="1"/>
    <row r="268" ht="31.5" customHeight="1"/>
    <row r="269" ht="31.5" customHeight="1"/>
    <row r="270" ht="31.5" customHeight="1"/>
    <row r="271" ht="31.5" customHeight="1"/>
    <row r="272" ht="31.5" customHeight="1"/>
    <row r="273" ht="31.5" customHeight="1"/>
    <row r="274" ht="31.5" customHeight="1"/>
    <row r="275" ht="31.5" customHeight="1"/>
    <row r="276" ht="31.5" customHeight="1"/>
    <row r="277" ht="31.5" customHeight="1"/>
    <row r="278" ht="31.5" customHeight="1"/>
    <row r="279" ht="31.5" customHeight="1"/>
    <row r="280" ht="31.5" customHeight="1"/>
    <row r="281" ht="31.5" customHeight="1"/>
    <row r="282" ht="31.5" customHeight="1"/>
    <row r="283" ht="31.5" customHeight="1"/>
    <row r="284" ht="31.5" customHeight="1"/>
    <row r="285" ht="31.5" customHeight="1"/>
    <row r="286" ht="31.5" customHeight="1"/>
    <row r="287" ht="31.5" customHeight="1"/>
    <row r="288" ht="31.5" customHeight="1"/>
    <row r="289" ht="31.5" customHeight="1"/>
    <row r="290" ht="31.5" customHeight="1"/>
    <row r="291" ht="31.5" customHeight="1"/>
    <row r="292" ht="31.5" customHeight="1"/>
    <row r="293" ht="31.5" customHeight="1"/>
    <row r="294" ht="31.5" customHeight="1"/>
    <row r="295" ht="31.5" customHeight="1"/>
    <row r="296" ht="31.5" customHeight="1"/>
    <row r="297" ht="31.5" customHeight="1"/>
    <row r="298" ht="31.5" customHeight="1"/>
    <row r="299" ht="31.5" customHeight="1"/>
    <row r="300" ht="31.5" customHeight="1"/>
    <row r="301" ht="31.5" customHeight="1"/>
    <row r="302" ht="31.5" customHeight="1"/>
    <row r="303" ht="31.5" customHeight="1"/>
    <row r="304" ht="31.5" customHeight="1"/>
    <row r="305" ht="31.5" customHeight="1"/>
    <row r="306" ht="31.5" customHeight="1"/>
    <row r="307" ht="31.5" customHeight="1"/>
    <row r="308" ht="31.5" customHeight="1"/>
    <row r="309" ht="31.5" customHeight="1"/>
    <row r="310" ht="31.5" customHeight="1"/>
    <row r="311" ht="31.5" customHeight="1"/>
    <row r="312" ht="31.5" customHeight="1"/>
    <row r="313" ht="31.5" customHeight="1"/>
    <row r="314" ht="31.5" customHeight="1"/>
    <row r="315" ht="31.5" customHeight="1"/>
    <row r="316" ht="31.5" customHeight="1"/>
    <row r="317" ht="31.5" customHeight="1"/>
    <row r="318" ht="31.5" customHeight="1"/>
    <row r="319" ht="31.5" customHeight="1"/>
    <row r="320" ht="31.5" customHeight="1"/>
    <row r="321" ht="31.5" customHeight="1"/>
    <row r="322" ht="31.5" customHeight="1"/>
    <row r="323" ht="31.5" customHeight="1"/>
    <row r="324" ht="31.5" customHeight="1"/>
    <row r="325" ht="31.5" customHeight="1"/>
    <row r="326" ht="31.5" customHeight="1"/>
    <row r="327" ht="31.5" customHeight="1"/>
    <row r="328" ht="31.5" customHeight="1"/>
    <row r="329" ht="31.5" customHeight="1"/>
    <row r="330" ht="31.5" customHeight="1"/>
    <row r="331" ht="31.5" customHeight="1"/>
    <row r="332" ht="31.5" customHeight="1"/>
    <row r="333" ht="31.5" customHeight="1"/>
    <row r="334" ht="31.5" customHeight="1"/>
    <row r="335" ht="31.5" customHeight="1"/>
    <row r="336" ht="31.5" customHeight="1"/>
    <row r="337" ht="31.5" customHeight="1"/>
    <row r="338" ht="31.5" customHeight="1"/>
    <row r="339" ht="31.5" customHeight="1"/>
    <row r="340" ht="31.5" customHeight="1"/>
    <row r="341" ht="31.5" customHeight="1"/>
    <row r="342" ht="31.5" customHeight="1"/>
    <row r="343" ht="31.5" customHeight="1"/>
    <row r="344" ht="31.5" customHeight="1"/>
    <row r="345" ht="31.5" customHeight="1"/>
    <row r="346" ht="31.5" customHeight="1"/>
    <row r="347" ht="31.5" customHeight="1"/>
    <row r="348" ht="31.5" customHeight="1"/>
    <row r="349" ht="31.5" customHeight="1"/>
    <row r="350" ht="31.5" customHeight="1"/>
    <row r="351" ht="31.5" customHeight="1"/>
    <row r="352" ht="31.5" customHeight="1"/>
    <row r="353" ht="31.5" customHeight="1"/>
    <row r="354" ht="31.5" customHeight="1"/>
    <row r="355" ht="31.5" customHeight="1"/>
    <row r="356" ht="31.5" customHeight="1"/>
    <row r="357" ht="31.5" customHeight="1"/>
    <row r="358" ht="31.5" customHeight="1"/>
    <row r="359" ht="31.5" customHeight="1"/>
    <row r="360" ht="31.5" customHeight="1"/>
    <row r="361" ht="31.5" customHeight="1"/>
    <row r="362" ht="31.5" customHeight="1"/>
    <row r="363" ht="31.5" customHeight="1"/>
    <row r="364" ht="31.5" customHeight="1"/>
    <row r="365" ht="31.5" customHeight="1"/>
    <row r="366" ht="31.5" customHeight="1"/>
    <row r="367" ht="31.5" customHeight="1"/>
    <row r="368" ht="31.5" customHeight="1"/>
    <row r="369" ht="31.5" customHeight="1"/>
    <row r="370" ht="31.5" customHeight="1"/>
    <row r="371" ht="31.5" customHeight="1"/>
    <row r="372" ht="31.5" customHeight="1"/>
    <row r="373" ht="31.5" customHeight="1"/>
    <row r="374" ht="31.5" customHeight="1"/>
    <row r="375" ht="31.5" customHeight="1"/>
    <row r="376" ht="31.5" customHeight="1"/>
    <row r="377" ht="31.5" customHeight="1"/>
    <row r="378" ht="31.5" customHeight="1"/>
    <row r="379" ht="31.5" customHeight="1"/>
    <row r="380" ht="31.5" customHeight="1"/>
    <row r="381" ht="31.5" customHeight="1"/>
    <row r="382" ht="31.5" customHeight="1"/>
    <row r="383" ht="31.5" customHeight="1"/>
    <row r="384" ht="31.5" customHeight="1"/>
    <row r="385" ht="31.5" customHeight="1"/>
    <row r="386" ht="31.5" customHeight="1"/>
    <row r="387" ht="31.5" customHeight="1"/>
    <row r="388" ht="31.5" customHeight="1"/>
    <row r="389" ht="31.5" customHeight="1"/>
    <row r="390" ht="31.5" customHeight="1"/>
    <row r="391" ht="31.5" customHeight="1"/>
    <row r="392" ht="31.5" customHeight="1"/>
    <row r="393" ht="31.5" customHeight="1"/>
    <row r="394" ht="31.5" customHeight="1"/>
    <row r="395" ht="31.5" customHeight="1"/>
    <row r="396" ht="31.5" customHeight="1"/>
    <row r="397" ht="31.5" customHeight="1"/>
    <row r="398" ht="31.5" customHeight="1"/>
    <row r="399" ht="31.5" customHeight="1"/>
    <row r="400" ht="31.5" customHeight="1"/>
    <row r="401" ht="31.5" customHeight="1"/>
    <row r="402" ht="31.5" customHeight="1"/>
    <row r="403" ht="31.5" customHeight="1"/>
    <row r="404" ht="31.5" customHeight="1"/>
    <row r="405" ht="31.5" customHeight="1"/>
    <row r="406" ht="31.5" customHeight="1"/>
    <row r="407" ht="31.5" customHeight="1"/>
    <row r="408" ht="31.5" customHeight="1"/>
    <row r="409" ht="31.5" customHeight="1"/>
    <row r="410" ht="31.5" customHeight="1"/>
    <row r="411" ht="31.5" customHeight="1"/>
    <row r="412" ht="31.5" customHeight="1"/>
    <row r="413" ht="31.5" customHeight="1"/>
    <row r="414" ht="31.5" customHeight="1"/>
    <row r="415" ht="31.5" customHeight="1"/>
    <row r="416" ht="31.5" customHeight="1"/>
    <row r="417" ht="31.5" customHeight="1"/>
    <row r="418" ht="31.5" customHeight="1"/>
    <row r="419" ht="31.5" customHeight="1"/>
    <row r="420" ht="31.5" customHeight="1"/>
    <row r="421" ht="31.5" customHeight="1"/>
    <row r="422" ht="31.5" customHeight="1"/>
    <row r="423" ht="31.5" customHeight="1"/>
    <row r="424" ht="31.5" customHeight="1"/>
    <row r="425" ht="31.5" customHeight="1"/>
    <row r="426" ht="31.5" customHeight="1"/>
    <row r="427" ht="31.5" customHeight="1"/>
    <row r="428" ht="31.5" customHeight="1"/>
    <row r="429" ht="31.5" customHeight="1"/>
    <row r="430" ht="31.5" customHeight="1"/>
    <row r="431" ht="31.5" customHeight="1"/>
    <row r="432" ht="31.5" customHeight="1"/>
    <row r="433" ht="31.5" customHeight="1"/>
    <row r="434" ht="31.5" customHeight="1"/>
    <row r="435" ht="31.5" customHeight="1"/>
    <row r="436" ht="31.5" customHeight="1"/>
    <row r="437" ht="31.5" customHeight="1"/>
    <row r="438" ht="31.5" customHeight="1"/>
    <row r="439" ht="31.5" customHeight="1"/>
    <row r="440" ht="31.5" customHeight="1"/>
    <row r="441" ht="31.5" customHeight="1"/>
    <row r="442" ht="31.5" customHeight="1"/>
    <row r="443" ht="31.5" customHeight="1"/>
    <row r="444" ht="31.5" customHeight="1"/>
    <row r="445" ht="31.5" customHeight="1"/>
    <row r="446" ht="31.5" customHeight="1"/>
    <row r="447" ht="31.5" customHeight="1"/>
    <row r="448" ht="31.5" customHeight="1"/>
    <row r="449" ht="31.5" customHeight="1"/>
    <row r="450" ht="31.5" customHeight="1"/>
    <row r="451" ht="31.5" customHeight="1"/>
    <row r="452" ht="31.5" customHeight="1"/>
    <row r="453" ht="31.5" customHeight="1"/>
    <row r="454" ht="31.5" customHeight="1"/>
    <row r="455" ht="31.5" customHeight="1"/>
    <row r="456" ht="31.5" customHeight="1"/>
    <row r="457" ht="31.5" customHeight="1"/>
    <row r="458" ht="31.5" customHeight="1"/>
    <row r="459" ht="31.5" customHeight="1"/>
    <row r="460" ht="31.5" customHeight="1"/>
    <row r="461" ht="31.5" customHeight="1"/>
    <row r="462" ht="31.5" customHeight="1"/>
    <row r="463" ht="31.5" customHeight="1"/>
    <row r="464" ht="31.5" customHeight="1"/>
    <row r="465" ht="31.5" customHeight="1"/>
    <row r="466" ht="31.5" customHeight="1"/>
    <row r="467" ht="31.5" customHeight="1"/>
    <row r="468" ht="31.5" customHeight="1"/>
    <row r="469" ht="31.5" customHeight="1"/>
    <row r="470" ht="31.5" customHeight="1"/>
    <row r="471" ht="31.5" customHeight="1"/>
    <row r="472" ht="31.5" customHeight="1"/>
    <row r="473" ht="31.5" customHeight="1"/>
    <row r="474" ht="31.5" customHeight="1"/>
    <row r="475" ht="31.5" customHeight="1"/>
    <row r="476" ht="31.5" customHeight="1"/>
    <row r="477" ht="31.5" customHeight="1"/>
    <row r="478" ht="31.5" customHeight="1"/>
    <row r="479" ht="31.5" customHeight="1"/>
    <row r="480" ht="31.5" customHeight="1"/>
    <row r="481" ht="31.5" customHeight="1"/>
    <row r="482" ht="31.5" customHeight="1"/>
    <row r="483" ht="31.5" customHeight="1"/>
    <row r="484" ht="31.5" customHeight="1"/>
    <row r="485" ht="31.5" customHeight="1"/>
    <row r="486" ht="31.5" customHeight="1"/>
    <row r="487" ht="31.5" customHeight="1"/>
    <row r="488" ht="31.5" customHeight="1"/>
    <row r="489" ht="31.5" customHeight="1"/>
    <row r="490" ht="31.5" customHeight="1"/>
    <row r="491" ht="31.5" customHeight="1"/>
    <row r="492" ht="31.5" customHeight="1"/>
    <row r="493" ht="31.5" customHeight="1"/>
    <row r="494" ht="31.5" customHeight="1"/>
    <row r="495" ht="31.5" customHeight="1"/>
    <row r="496" ht="31.5" customHeight="1"/>
    <row r="497" ht="31.5" customHeight="1"/>
    <row r="498" ht="31.5" customHeight="1"/>
    <row r="499" ht="31.5" customHeight="1"/>
    <row r="500" ht="31.5" customHeight="1"/>
    <row r="501" ht="31.5" customHeight="1"/>
    <row r="502" ht="31.5" customHeight="1"/>
    <row r="503" ht="31.5" customHeight="1"/>
    <row r="504" ht="31.5" customHeight="1"/>
    <row r="505" ht="31.5" customHeight="1"/>
    <row r="506" ht="31.5" customHeight="1"/>
    <row r="507" ht="31.5" customHeight="1"/>
    <row r="508" ht="31.5" customHeight="1"/>
    <row r="509" ht="31.5" customHeight="1"/>
    <row r="510" ht="31.5" customHeight="1"/>
    <row r="511" ht="31.5" customHeight="1"/>
    <row r="512" ht="31.5" customHeight="1"/>
    <row r="513" ht="31.5" customHeight="1"/>
    <row r="514" ht="31.5" customHeight="1"/>
    <row r="515" ht="31.5" customHeight="1"/>
    <row r="516" ht="31.5" customHeight="1"/>
    <row r="517" ht="31.5" customHeight="1"/>
    <row r="518" ht="31.5" customHeight="1"/>
    <row r="519" ht="31.5" customHeight="1"/>
    <row r="520" ht="31.5" customHeight="1"/>
    <row r="521" ht="31.5" customHeight="1"/>
    <row r="522" ht="31.5" customHeight="1"/>
    <row r="523" ht="31.5" customHeight="1"/>
    <row r="524" ht="31.5" customHeight="1"/>
    <row r="525" ht="31.5" customHeight="1"/>
    <row r="526" ht="31.5" customHeight="1"/>
    <row r="527" ht="31.5" customHeight="1"/>
    <row r="528" ht="31.5" customHeight="1"/>
    <row r="529" ht="31.5" customHeight="1"/>
    <row r="530" ht="31.5" customHeight="1"/>
    <row r="531" ht="31.5" customHeight="1"/>
    <row r="532" ht="31.5" customHeight="1"/>
    <row r="533" ht="31.5" customHeight="1"/>
    <row r="534" ht="31.5" customHeight="1"/>
    <row r="535" ht="31.5" customHeight="1"/>
    <row r="536" ht="31.5" customHeight="1"/>
    <row r="537" ht="31.5" customHeight="1"/>
    <row r="538" ht="31.5" customHeight="1"/>
    <row r="539" ht="31.5" customHeight="1"/>
    <row r="540" ht="31.5" customHeight="1"/>
    <row r="541" ht="31.5" customHeight="1"/>
    <row r="542" ht="31.5" customHeight="1"/>
    <row r="543" ht="31.5" customHeight="1"/>
    <row r="544" ht="31.5" customHeight="1"/>
    <row r="545" ht="31.5" customHeight="1"/>
    <row r="546" ht="31.5" customHeight="1"/>
    <row r="547" ht="31.5" customHeight="1"/>
    <row r="548" ht="31.5" customHeight="1"/>
    <row r="549" ht="31.5" customHeight="1"/>
    <row r="550" ht="31.5" customHeight="1"/>
    <row r="551" ht="31.5" customHeight="1"/>
    <row r="552" ht="31.5" customHeight="1"/>
    <row r="553" ht="31.5" customHeight="1"/>
    <row r="554" ht="31.5" customHeight="1"/>
    <row r="555" ht="31.5" customHeight="1"/>
    <row r="556" ht="31.5" customHeight="1"/>
    <row r="557" ht="31.5" customHeight="1"/>
    <row r="558" ht="31.5" customHeight="1"/>
    <row r="559" ht="31.5" customHeight="1"/>
    <row r="560" ht="31.5" customHeight="1"/>
    <row r="561" ht="31.5" customHeight="1"/>
    <row r="562" ht="31.5" customHeight="1"/>
    <row r="563" ht="31.5" customHeight="1"/>
    <row r="564" ht="31.5" customHeight="1"/>
    <row r="565" ht="31.5" customHeight="1"/>
    <row r="566" ht="31.5" customHeight="1"/>
    <row r="567" ht="31.5" customHeight="1"/>
    <row r="568" ht="31.5" customHeight="1"/>
    <row r="569" ht="31.5" customHeight="1"/>
    <row r="570" ht="31.5" customHeight="1"/>
    <row r="571" ht="31.5" customHeight="1"/>
    <row r="572" ht="31.5" customHeight="1"/>
    <row r="573" ht="31.5" customHeight="1"/>
    <row r="574" ht="31.5" customHeight="1"/>
    <row r="575" ht="31.5" customHeight="1"/>
    <row r="576" ht="31.5" customHeight="1"/>
    <row r="577" ht="31.5" customHeight="1"/>
    <row r="578" ht="31.5" customHeight="1"/>
    <row r="579" ht="31.5" customHeight="1"/>
    <row r="580" ht="31.5" customHeight="1"/>
    <row r="581" ht="31.5" customHeight="1"/>
    <row r="582" ht="31.5" customHeight="1"/>
    <row r="583" ht="31.5" customHeight="1"/>
    <row r="584" ht="31.5" customHeight="1"/>
    <row r="585" ht="31.5" customHeight="1"/>
    <row r="586" ht="31.5" customHeight="1"/>
    <row r="587" ht="31.5" customHeight="1"/>
    <row r="588" ht="31.5" customHeight="1"/>
    <row r="589" ht="31.5" customHeight="1"/>
    <row r="590" ht="31.5" customHeight="1"/>
    <row r="591" ht="31.5" customHeight="1"/>
    <row r="592" ht="31.5" customHeight="1"/>
    <row r="593" ht="31.5" customHeight="1"/>
    <row r="594" ht="31.5" customHeight="1"/>
    <row r="595" ht="31.5" customHeight="1"/>
    <row r="596" ht="31.5" customHeight="1"/>
    <row r="597" ht="31.5" customHeight="1"/>
    <row r="598" ht="31.5" customHeight="1"/>
    <row r="599" ht="31.5" customHeight="1"/>
    <row r="600" ht="31.5" customHeight="1"/>
    <row r="601" ht="31.5" customHeight="1"/>
    <row r="602" ht="31.5" customHeight="1"/>
    <row r="603" ht="31.5" customHeight="1"/>
    <row r="604" ht="31.5" customHeight="1"/>
    <row r="605" ht="31.5" customHeight="1"/>
    <row r="606" ht="31.5" customHeight="1"/>
    <row r="607" ht="31.5" customHeight="1"/>
    <row r="608" ht="31.5" customHeight="1"/>
    <row r="609" ht="31.5" customHeight="1"/>
    <row r="610" ht="31.5" customHeight="1"/>
    <row r="611" ht="31.5" customHeight="1"/>
    <row r="612" ht="31.5" customHeight="1"/>
    <row r="613" ht="31.5" customHeight="1"/>
    <row r="614" ht="31.5" customHeight="1"/>
    <row r="615" ht="31.5" customHeight="1"/>
    <row r="616" ht="31.5" customHeight="1"/>
    <row r="617" ht="31.5" customHeight="1"/>
    <row r="618" ht="31.5" customHeight="1"/>
    <row r="619" ht="31.5" customHeight="1"/>
    <row r="620" ht="31.5" customHeight="1"/>
    <row r="621" ht="31.5" customHeight="1"/>
    <row r="622" ht="31.5" customHeight="1"/>
    <row r="623" ht="31.5" customHeight="1"/>
    <row r="624" ht="31.5" customHeight="1"/>
    <row r="625" ht="31.5" customHeight="1"/>
    <row r="626" ht="31.5" customHeight="1"/>
    <row r="627" ht="31.5" customHeight="1"/>
    <row r="628" ht="31.5" customHeight="1"/>
    <row r="629" ht="31.5" customHeight="1"/>
    <row r="630" ht="31.5" customHeight="1"/>
    <row r="631" ht="31.5" customHeight="1"/>
    <row r="632" ht="31.5" customHeight="1"/>
    <row r="633" ht="31.5" customHeight="1"/>
    <row r="634" ht="31.5" customHeight="1"/>
    <row r="635" ht="31.5" customHeight="1"/>
    <row r="636" ht="31.5" customHeight="1"/>
    <row r="637" ht="31.5" customHeight="1"/>
    <row r="638" ht="31.5" customHeight="1"/>
    <row r="639" ht="31.5" customHeight="1"/>
    <row r="640" ht="31.5" customHeight="1"/>
    <row r="641" ht="31.5" customHeight="1"/>
    <row r="642" ht="31.5" customHeight="1"/>
    <row r="643" ht="31.5" customHeight="1"/>
    <row r="644" ht="31.5" customHeight="1"/>
    <row r="645" ht="31.5" customHeight="1"/>
    <row r="646" ht="31.5" customHeight="1"/>
    <row r="647" ht="31.5" customHeight="1"/>
    <row r="648" ht="31.5" customHeight="1"/>
    <row r="649" ht="31.5" customHeight="1"/>
    <row r="650" ht="31.5" customHeight="1"/>
    <row r="651" ht="31.5" customHeight="1"/>
    <row r="652" ht="31.5" customHeight="1"/>
    <row r="653" ht="31.5" customHeight="1"/>
    <row r="654" ht="31.5" customHeight="1"/>
    <row r="655" ht="31.5" customHeight="1"/>
    <row r="656" ht="31.5" customHeight="1"/>
    <row r="657" ht="31.5" customHeight="1"/>
    <row r="658" ht="31.5" customHeight="1"/>
    <row r="659" ht="31.5" customHeight="1"/>
    <row r="660" ht="31.5" customHeight="1"/>
    <row r="661" ht="31.5" customHeight="1"/>
    <row r="662" ht="31.5" customHeight="1"/>
    <row r="663" ht="31.5" customHeight="1"/>
    <row r="664" ht="31.5" customHeight="1"/>
    <row r="665" ht="31.5" customHeight="1"/>
    <row r="666" ht="31.5" customHeight="1"/>
    <row r="667" ht="31.5" customHeight="1"/>
    <row r="668" ht="31.5" customHeight="1"/>
    <row r="669" ht="31.5" customHeight="1"/>
    <row r="670" ht="31.5" customHeight="1"/>
    <row r="671" ht="31.5" customHeight="1"/>
    <row r="672" ht="31.5" customHeight="1"/>
    <row r="673" ht="31.5" customHeight="1"/>
    <row r="674" ht="31.5" customHeight="1"/>
    <row r="675" ht="31.5" customHeight="1"/>
    <row r="676" ht="31.5" customHeight="1"/>
    <row r="677" ht="31.5" customHeight="1"/>
    <row r="678" ht="31.5" customHeight="1"/>
    <row r="679" ht="31.5" customHeight="1"/>
    <row r="680" ht="31.5" customHeight="1"/>
    <row r="681" ht="31.5" customHeight="1"/>
    <row r="682" ht="31.5" customHeight="1"/>
    <row r="683" ht="31.5" customHeight="1"/>
    <row r="684" ht="31.5" customHeight="1"/>
    <row r="685" ht="31.5" customHeight="1"/>
    <row r="686" ht="31.5" customHeight="1"/>
    <row r="687" ht="31.5" customHeight="1"/>
    <row r="688" ht="31.5" customHeight="1"/>
    <row r="689" ht="31.5" customHeight="1"/>
    <row r="690" ht="31.5" customHeight="1"/>
    <row r="691" ht="31.5" customHeight="1"/>
    <row r="692" ht="31.5" customHeight="1"/>
    <row r="693" ht="31.5" customHeight="1"/>
    <row r="694" ht="31.5" customHeight="1"/>
    <row r="695" ht="31.5" customHeight="1"/>
    <row r="696" ht="31.5" customHeight="1"/>
    <row r="697" ht="31.5" customHeight="1"/>
    <row r="698" ht="31.5" customHeight="1"/>
    <row r="699" ht="31.5" customHeight="1"/>
    <row r="700" ht="31.5" customHeight="1"/>
    <row r="701" ht="31.5" customHeight="1"/>
    <row r="702" ht="31.5" customHeight="1"/>
    <row r="703" ht="31.5" customHeight="1"/>
    <row r="704" ht="31.5" customHeight="1"/>
    <row r="705" ht="31.5" customHeight="1"/>
    <row r="706" ht="31.5" customHeight="1"/>
    <row r="707" ht="31.5" customHeight="1"/>
    <row r="708" ht="31.5" customHeight="1"/>
    <row r="709" ht="31.5" customHeight="1"/>
    <row r="710" ht="31.5" customHeight="1"/>
    <row r="711" ht="31.5" customHeight="1"/>
    <row r="712" ht="31.5" customHeight="1"/>
    <row r="713" ht="31.5" customHeight="1"/>
    <row r="714" ht="31.5" customHeight="1"/>
    <row r="715" ht="31.5" customHeight="1"/>
    <row r="716" ht="31.5" customHeight="1"/>
    <row r="717" ht="31.5" customHeight="1"/>
    <row r="718" ht="31.5" customHeight="1"/>
    <row r="719" ht="31.5" customHeight="1"/>
    <row r="720" ht="31.5" customHeight="1"/>
    <row r="721" ht="31.5" customHeight="1"/>
    <row r="722" ht="31.5" customHeight="1"/>
    <row r="723" ht="31.5" customHeight="1"/>
    <row r="724" ht="31.5" customHeight="1"/>
    <row r="725" ht="31.5" customHeight="1"/>
    <row r="726" ht="31.5" customHeight="1"/>
    <row r="727" ht="31.5" customHeight="1"/>
    <row r="728" ht="31.5" customHeight="1"/>
    <row r="729" ht="31.5" customHeight="1"/>
    <row r="730" ht="31.5" customHeight="1"/>
    <row r="731" ht="31.5" customHeight="1"/>
    <row r="732" ht="31.5" customHeight="1"/>
    <row r="733" ht="31.5" customHeight="1"/>
    <row r="734" ht="31.5" customHeight="1"/>
    <row r="735" ht="31.5" customHeight="1"/>
    <row r="736" ht="31.5" customHeight="1"/>
    <row r="737" ht="31.5" customHeight="1"/>
    <row r="738" ht="31.5" customHeight="1"/>
    <row r="739" ht="31.5" customHeight="1"/>
    <row r="740" ht="31.5" customHeight="1"/>
    <row r="741" ht="31.5" customHeight="1"/>
    <row r="742" ht="31.5" customHeight="1"/>
    <row r="743" ht="31.5" customHeight="1"/>
    <row r="744" ht="31.5" customHeight="1"/>
    <row r="745" ht="31.5" customHeight="1"/>
    <row r="746" ht="31.5" customHeight="1"/>
    <row r="747" ht="31.5" customHeight="1"/>
    <row r="748" ht="31.5" customHeight="1"/>
    <row r="749" ht="31.5" customHeight="1"/>
    <row r="750" ht="31.5" customHeight="1"/>
    <row r="751" ht="31.5" customHeight="1"/>
    <row r="752" ht="31.5" customHeight="1"/>
    <row r="753" ht="31.5" customHeight="1"/>
    <row r="754" ht="31.5" customHeight="1"/>
    <row r="755" ht="31.5" customHeight="1"/>
    <row r="756" ht="31.5" customHeight="1"/>
    <row r="757" ht="31.5" customHeight="1"/>
    <row r="758" ht="31.5" customHeight="1"/>
    <row r="759" ht="31.5" customHeight="1"/>
    <row r="760" ht="31.5" customHeight="1"/>
    <row r="761" ht="31.5" customHeight="1"/>
    <row r="762" ht="31.5" customHeight="1"/>
    <row r="763" ht="31.5" customHeight="1"/>
    <row r="764" ht="31.5" customHeight="1"/>
    <row r="765" ht="31.5" customHeight="1"/>
    <row r="766" ht="31.5" customHeight="1"/>
    <row r="767" ht="31.5" customHeight="1"/>
    <row r="768" ht="31.5" customHeight="1"/>
    <row r="769" ht="31.5" customHeight="1"/>
    <row r="770" ht="31.5" customHeight="1"/>
    <row r="771" ht="31.5" customHeight="1"/>
    <row r="772" ht="31.5" customHeight="1"/>
    <row r="773" ht="31.5" customHeight="1"/>
    <row r="774" ht="31.5" customHeight="1"/>
    <row r="775" ht="31.5" customHeight="1"/>
    <row r="776" ht="31.5" customHeight="1"/>
    <row r="777" ht="31.5" customHeight="1"/>
    <row r="778" ht="31.5" customHeight="1"/>
    <row r="779" ht="31.5" customHeight="1"/>
    <row r="780" ht="31.5" customHeight="1"/>
    <row r="781" ht="31.5" customHeight="1"/>
    <row r="782" ht="31.5" customHeight="1"/>
    <row r="783" ht="31.5" customHeight="1"/>
    <row r="784" ht="31.5" customHeight="1"/>
    <row r="785" ht="31.5" customHeight="1"/>
    <row r="786" ht="31.5" customHeight="1"/>
    <row r="787" ht="31.5" customHeight="1"/>
    <row r="788" ht="31.5" customHeight="1"/>
    <row r="789" ht="31.5" customHeight="1"/>
    <row r="790" ht="31.5" customHeight="1"/>
    <row r="791" ht="31.5" customHeight="1"/>
    <row r="792" ht="31.5" customHeight="1"/>
    <row r="793" ht="31.5" customHeight="1"/>
    <row r="794" ht="31.5" customHeight="1"/>
    <row r="795" ht="31.5" customHeight="1"/>
    <row r="796" ht="31.5" customHeight="1"/>
    <row r="797" ht="31.5" customHeight="1"/>
    <row r="798" ht="31.5" customHeight="1"/>
    <row r="799" ht="31.5" customHeight="1"/>
    <row r="800" ht="31.5" customHeight="1"/>
    <row r="801" ht="31.5" customHeight="1"/>
    <row r="802" ht="31.5" customHeight="1"/>
    <row r="803" ht="31.5" customHeight="1"/>
    <row r="804" ht="31.5" customHeight="1"/>
    <row r="805" ht="31.5" customHeight="1"/>
    <row r="806" ht="31.5" customHeight="1"/>
    <row r="807" ht="31.5" customHeight="1"/>
    <row r="808" ht="31.5" customHeight="1"/>
    <row r="809" ht="31.5" customHeight="1"/>
    <row r="810" ht="31.5" customHeight="1"/>
    <row r="811" ht="31.5" customHeight="1"/>
    <row r="812" ht="31.5" customHeight="1"/>
    <row r="813" ht="31.5" customHeight="1"/>
    <row r="814" ht="31.5" customHeight="1"/>
    <row r="815" ht="31.5" customHeight="1"/>
    <row r="816" ht="31.5" customHeight="1"/>
    <row r="817" ht="31.5" customHeight="1"/>
    <row r="818" ht="31.5" customHeight="1"/>
    <row r="819" ht="31.5" customHeight="1"/>
    <row r="820" ht="31.5" customHeight="1"/>
    <row r="821" ht="31.5" customHeight="1"/>
    <row r="822" ht="31.5" customHeight="1"/>
    <row r="823" ht="31.5" customHeight="1"/>
    <row r="824" ht="31.5" customHeight="1"/>
    <row r="825" ht="31.5" customHeight="1"/>
    <row r="826" ht="31.5" customHeight="1"/>
    <row r="827" ht="31.5" customHeight="1"/>
    <row r="828" ht="31.5" customHeight="1"/>
    <row r="829" ht="31.5" customHeight="1"/>
    <row r="830" ht="31.5" customHeight="1"/>
    <row r="831" ht="31.5" customHeight="1"/>
    <row r="832" ht="31.5" customHeight="1"/>
    <row r="833" ht="31.5" customHeight="1"/>
    <row r="834" ht="31.5" customHeight="1"/>
    <row r="835" ht="31.5" customHeight="1"/>
    <row r="836" ht="31.5" customHeight="1"/>
    <row r="837" ht="31.5" customHeight="1"/>
    <row r="838" ht="31.5" customHeight="1"/>
    <row r="839" ht="31.5" customHeight="1"/>
    <row r="840" ht="31.5" customHeight="1"/>
    <row r="841" ht="31.5" customHeight="1"/>
    <row r="842" ht="31.5" customHeight="1"/>
    <row r="843" ht="31.5" customHeight="1"/>
    <row r="844" ht="31.5" customHeight="1"/>
    <row r="845" ht="31.5" customHeight="1"/>
    <row r="846" ht="31.5" customHeight="1"/>
    <row r="847" ht="31.5" customHeight="1"/>
    <row r="848" ht="31.5" customHeight="1"/>
    <row r="849" ht="31.5" customHeight="1"/>
    <row r="850" ht="31.5" customHeight="1"/>
    <row r="851" ht="31.5" customHeight="1"/>
    <row r="852" ht="31.5" customHeight="1"/>
    <row r="853" ht="31.5" customHeight="1"/>
    <row r="854" ht="31.5" customHeight="1"/>
    <row r="855" ht="31.5" customHeight="1"/>
    <row r="856" ht="31.5" customHeight="1"/>
    <row r="857" ht="31.5" customHeight="1"/>
    <row r="858" ht="31.5" customHeight="1"/>
    <row r="859" ht="31.5" customHeight="1"/>
    <row r="860" ht="31.5" customHeight="1"/>
    <row r="861" ht="31.5" customHeight="1"/>
    <row r="862" ht="31.5" customHeight="1"/>
    <row r="863" ht="31.5" customHeight="1"/>
    <row r="864" ht="31.5" customHeight="1"/>
    <row r="865" ht="31.5" customHeight="1"/>
    <row r="866" ht="31.5" customHeight="1"/>
    <row r="867" ht="31.5" customHeight="1"/>
    <row r="868" ht="31.5" customHeight="1"/>
    <row r="869" ht="31.5" customHeight="1"/>
    <row r="870" ht="31.5" customHeight="1"/>
    <row r="871" ht="31.5" customHeight="1"/>
    <row r="872" ht="31.5" customHeight="1"/>
    <row r="873" ht="31.5" customHeight="1"/>
    <row r="874" ht="31.5" customHeight="1"/>
    <row r="875" ht="31.5" customHeight="1"/>
    <row r="876" ht="31.5" customHeight="1"/>
    <row r="877" ht="31.5" customHeight="1"/>
    <row r="878" ht="31.5" customHeight="1"/>
    <row r="879" ht="31.5" customHeight="1"/>
    <row r="880" ht="31.5" customHeight="1"/>
    <row r="881" ht="31.5" customHeight="1"/>
    <row r="882" ht="31.5" customHeight="1"/>
    <row r="883" ht="31.5" customHeight="1"/>
    <row r="884" ht="31.5" customHeight="1"/>
    <row r="885" ht="31.5" customHeight="1"/>
    <row r="886" ht="31.5" customHeight="1"/>
    <row r="887" ht="31.5" customHeight="1"/>
    <row r="888" ht="31.5" customHeight="1"/>
    <row r="889" ht="31.5" customHeight="1"/>
    <row r="890" ht="31.5" customHeight="1"/>
    <row r="891" ht="31.5" customHeight="1"/>
    <row r="892" ht="31.5" customHeight="1"/>
    <row r="893" ht="31.5" customHeight="1"/>
    <row r="894" ht="31.5" customHeight="1"/>
    <row r="895" ht="31.5" customHeight="1"/>
    <row r="896" ht="31.5" customHeight="1"/>
    <row r="897" ht="31.5" customHeight="1"/>
    <row r="898" ht="31.5" customHeight="1"/>
    <row r="899" ht="31.5" customHeight="1"/>
    <row r="900" ht="31.5" customHeight="1"/>
    <row r="901" ht="31.5" customHeight="1"/>
    <row r="902" ht="31.5" customHeight="1"/>
    <row r="903" ht="31.5" customHeight="1"/>
    <row r="904" ht="31.5" customHeight="1"/>
    <row r="905" ht="31.5" customHeight="1"/>
    <row r="906" ht="31.5" customHeight="1"/>
    <row r="907" ht="31.5" customHeight="1"/>
    <row r="908" ht="31.5" customHeight="1"/>
    <row r="909" ht="31.5" customHeight="1"/>
    <row r="910" ht="31.5" customHeight="1"/>
    <row r="911" ht="31.5" customHeight="1"/>
    <row r="912" ht="31.5" customHeight="1"/>
    <row r="913" ht="31.5" customHeight="1"/>
    <row r="914" ht="31.5" customHeight="1"/>
    <row r="915" ht="31.5" customHeight="1"/>
    <row r="916" ht="31.5" customHeight="1"/>
    <row r="917" ht="31.5" customHeight="1"/>
    <row r="918" ht="31.5" customHeight="1"/>
    <row r="919" ht="31.5" customHeight="1"/>
    <row r="920" ht="31.5" customHeight="1"/>
    <row r="921" ht="31.5" customHeight="1"/>
    <row r="922" ht="31.5" customHeight="1"/>
    <row r="923" ht="31.5" customHeight="1"/>
    <row r="924" ht="31.5" customHeight="1"/>
    <row r="925" ht="31.5" customHeight="1"/>
    <row r="926" ht="31.5" customHeight="1"/>
    <row r="927" ht="31.5" customHeight="1"/>
    <row r="928" ht="31.5" customHeight="1"/>
    <row r="929" ht="31.5" customHeight="1"/>
    <row r="930" ht="31.5" customHeight="1"/>
    <row r="931" ht="31.5" customHeight="1"/>
    <row r="932" ht="31.5" customHeight="1"/>
    <row r="933" ht="31.5" customHeight="1"/>
    <row r="934" ht="31.5" customHeight="1"/>
    <row r="935" ht="31.5" customHeight="1"/>
    <row r="936" ht="31.5" customHeight="1"/>
    <row r="937" ht="31.5" customHeight="1"/>
    <row r="938" ht="31.5" customHeight="1"/>
    <row r="939" ht="31.5" customHeight="1"/>
    <row r="940" ht="31.5" customHeight="1"/>
    <row r="941" ht="31.5" customHeight="1"/>
    <row r="942" ht="31.5" customHeight="1"/>
    <row r="943" ht="31.5" customHeight="1"/>
    <row r="944" ht="31.5" customHeight="1"/>
    <row r="945" ht="31.5" customHeight="1"/>
    <row r="946" ht="31.5" customHeight="1"/>
    <row r="947" ht="31.5" customHeight="1"/>
    <row r="948" ht="31.5" customHeight="1"/>
    <row r="949" ht="31.5" customHeight="1"/>
    <row r="950" ht="31.5" customHeight="1"/>
    <row r="951" ht="31.5" customHeight="1"/>
    <row r="952" ht="31.5" customHeight="1"/>
    <row r="953" ht="31.5" customHeight="1"/>
    <row r="954" ht="31.5" customHeight="1"/>
    <row r="955" ht="31.5" customHeight="1"/>
    <row r="956" ht="31.5" customHeight="1"/>
    <row r="957" ht="31.5" customHeight="1"/>
    <row r="958" ht="31.5" customHeight="1"/>
    <row r="959" ht="31.5" customHeight="1"/>
    <row r="960" ht="31.5" customHeight="1"/>
    <row r="961" ht="31.5" customHeight="1"/>
    <row r="962" ht="31.5" customHeight="1"/>
    <row r="963" ht="31.5" customHeight="1"/>
    <row r="964" ht="31.5" customHeight="1"/>
    <row r="965" ht="31.5" customHeight="1"/>
    <row r="966" ht="31.5" customHeight="1"/>
    <row r="967" ht="31.5" customHeight="1"/>
    <row r="968" ht="31.5" customHeight="1"/>
    <row r="969" ht="31.5" customHeight="1"/>
    <row r="970" ht="31.5" customHeight="1"/>
    <row r="971" ht="31.5" customHeight="1"/>
    <row r="972" ht="31.5" customHeight="1"/>
    <row r="973" ht="31.5" customHeight="1"/>
    <row r="974" ht="31.5" customHeight="1"/>
    <row r="975" ht="31.5" customHeight="1"/>
    <row r="976" ht="31.5" customHeight="1"/>
    <row r="977" ht="31.5" customHeight="1"/>
    <row r="978" ht="31.5" customHeight="1"/>
    <row r="979" ht="31.5" customHeight="1"/>
    <row r="980" ht="31.5" customHeight="1"/>
    <row r="981" ht="31.5" customHeight="1"/>
    <row r="982" ht="31.5" customHeight="1"/>
    <row r="983" ht="31.5" customHeight="1"/>
    <row r="984" ht="31.5" customHeight="1"/>
    <row r="985" ht="31.5" customHeight="1"/>
    <row r="986" ht="31.5" customHeight="1"/>
    <row r="987" ht="31.5" customHeight="1"/>
    <row r="988" ht="31.5" customHeight="1"/>
    <row r="989" ht="31.5" customHeight="1"/>
    <row r="990" ht="31.5" customHeight="1"/>
    <row r="991" ht="31.5" customHeight="1"/>
    <row r="992" ht="31.5" customHeight="1"/>
    <row r="993" ht="31.5" customHeight="1"/>
    <row r="994" ht="31.5" customHeight="1"/>
    <row r="995" ht="31.5" customHeight="1"/>
    <row r="996" ht="31.5" customHeight="1"/>
    <row r="997" ht="31.5" customHeight="1"/>
    <row r="998" ht="31.5" customHeight="1"/>
  </sheetData>
  <mergeCells count="133">
    <mergeCell ref="C27:F27"/>
    <mergeCell ref="C29:F29"/>
    <mergeCell ref="C30:F30"/>
    <mergeCell ref="C31:F31"/>
    <mergeCell ref="C32:F32"/>
    <mergeCell ref="C33:F33"/>
    <mergeCell ref="C34:F34"/>
    <mergeCell ref="C35:F35"/>
    <mergeCell ref="C36:F36"/>
    <mergeCell ref="C37:F37"/>
    <mergeCell ref="C39:F39"/>
    <mergeCell ref="C40:F40"/>
    <mergeCell ref="C41:F41"/>
    <mergeCell ref="C42:F42"/>
    <mergeCell ref="C43:F43"/>
    <mergeCell ref="C44:F44"/>
    <mergeCell ref="C45:F45"/>
    <mergeCell ref="C46:F46"/>
    <mergeCell ref="C47:F47"/>
    <mergeCell ref="C49:F49"/>
    <mergeCell ref="C50:F50"/>
    <mergeCell ref="C51:F51"/>
    <mergeCell ref="C52:F52"/>
    <mergeCell ref="C53:F53"/>
    <mergeCell ref="C54:F54"/>
    <mergeCell ref="C55:F55"/>
    <mergeCell ref="C56:F56"/>
    <mergeCell ref="C57:F57"/>
    <mergeCell ref="C59:F59"/>
    <mergeCell ref="C60:F60"/>
    <mergeCell ref="C61:F61"/>
    <mergeCell ref="C62:F62"/>
    <mergeCell ref="C63:F63"/>
    <mergeCell ref="C64:F64"/>
    <mergeCell ref="C65:F65"/>
    <mergeCell ref="C74:F74"/>
    <mergeCell ref="C75:F75"/>
    <mergeCell ref="C76:F76"/>
    <mergeCell ref="C77:F77"/>
    <mergeCell ref="C66:F66"/>
    <mergeCell ref="C67:F67"/>
    <mergeCell ref="C69:F69"/>
    <mergeCell ref="C70:F70"/>
    <mergeCell ref="C71:F71"/>
    <mergeCell ref="C72:F72"/>
    <mergeCell ref="C73:F73"/>
    <mergeCell ref="G36:J36"/>
    <mergeCell ref="G37:J37"/>
    <mergeCell ref="G39:J39"/>
    <mergeCell ref="G40:J40"/>
    <mergeCell ref="G41:J41"/>
    <mergeCell ref="G42:J42"/>
    <mergeCell ref="G43:J43"/>
    <mergeCell ref="G44:J44"/>
    <mergeCell ref="G45:J45"/>
    <mergeCell ref="G46:J46"/>
    <mergeCell ref="G47:J47"/>
    <mergeCell ref="G49:J49"/>
    <mergeCell ref="G50:J50"/>
    <mergeCell ref="G51:J51"/>
    <mergeCell ref="G52:J52"/>
    <mergeCell ref="G53:J53"/>
    <mergeCell ref="G54:J54"/>
    <mergeCell ref="G55:J55"/>
    <mergeCell ref="G56:J56"/>
    <mergeCell ref="G57:J57"/>
    <mergeCell ref="G59:J59"/>
    <mergeCell ref="G60:J60"/>
    <mergeCell ref="G61:J61"/>
    <mergeCell ref="G62:J62"/>
    <mergeCell ref="G63:J63"/>
    <mergeCell ref="G64:J64"/>
    <mergeCell ref="G65:J65"/>
    <mergeCell ref="G66:J66"/>
    <mergeCell ref="G75:J75"/>
    <mergeCell ref="G76:J76"/>
    <mergeCell ref="G77:J77"/>
    <mergeCell ref="G67:J67"/>
    <mergeCell ref="G69:J69"/>
    <mergeCell ref="G70:J70"/>
    <mergeCell ref="G71:J71"/>
    <mergeCell ref="G72:J72"/>
    <mergeCell ref="G73:J73"/>
    <mergeCell ref="G74:J74"/>
    <mergeCell ref="A1:K1"/>
    <mergeCell ref="B2:K2"/>
    <mergeCell ref="B3:K3"/>
    <mergeCell ref="B4:K4"/>
    <mergeCell ref="B5:K5"/>
    <mergeCell ref="B6:K6"/>
    <mergeCell ref="A7:K7"/>
    <mergeCell ref="C9:F9"/>
    <mergeCell ref="G9:J9"/>
    <mergeCell ref="C10:F10"/>
    <mergeCell ref="G10:J10"/>
    <mergeCell ref="C11:F11"/>
    <mergeCell ref="G11:J11"/>
    <mergeCell ref="G12:J12"/>
    <mergeCell ref="C12:F12"/>
    <mergeCell ref="C13:F13"/>
    <mergeCell ref="C14:F14"/>
    <mergeCell ref="C15:F15"/>
    <mergeCell ref="C16:F16"/>
    <mergeCell ref="C17:F17"/>
    <mergeCell ref="C19:F19"/>
    <mergeCell ref="G13:J13"/>
    <mergeCell ref="G14:J14"/>
    <mergeCell ref="G15:J15"/>
    <mergeCell ref="G16:J16"/>
    <mergeCell ref="G17:J17"/>
    <mergeCell ref="G19:J19"/>
    <mergeCell ref="G20:J20"/>
    <mergeCell ref="C20:F20"/>
    <mergeCell ref="C21:F21"/>
    <mergeCell ref="C22:F22"/>
    <mergeCell ref="C23:F23"/>
    <mergeCell ref="C24:F24"/>
    <mergeCell ref="C25:F25"/>
    <mergeCell ref="C26:F26"/>
    <mergeCell ref="G21:J21"/>
    <mergeCell ref="G22:J22"/>
    <mergeCell ref="G23:J23"/>
    <mergeCell ref="G24:J24"/>
    <mergeCell ref="G25:J25"/>
    <mergeCell ref="G26:J26"/>
    <mergeCell ref="G27:J27"/>
    <mergeCell ref="G29:J29"/>
    <mergeCell ref="G30:J30"/>
    <mergeCell ref="G31:J31"/>
    <mergeCell ref="G32:J32"/>
    <mergeCell ref="G33:J33"/>
    <mergeCell ref="G34:J34"/>
    <mergeCell ref="G35:J35"/>
  </mergeCell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2.13"/>
    <col customWidth="1" min="4" max="4" width="7.38"/>
    <col customWidth="1" min="5" max="5" width="12.5"/>
    <col customWidth="1" min="6" max="6" width="0.38"/>
    <col customWidth="1" min="8" max="8" width="10.13"/>
    <col customWidth="1" min="10" max="10" width="1.75"/>
    <col customWidth="1" min="11" max="11" width="21.75"/>
    <col customWidth="1" min="12" max="25" width="31.63"/>
  </cols>
  <sheetData>
    <row r="1" ht="31.5" customHeight="1">
      <c r="A1" s="130" t="s">
        <v>274</v>
      </c>
      <c r="B1" s="44"/>
      <c r="C1" s="44"/>
      <c r="D1" s="44"/>
      <c r="E1" s="44"/>
      <c r="F1" s="44"/>
      <c r="G1" s="44"/>
      <c r="H1" s="44"/>
      <c r="I1" s="44"/>
      <c r="J1" s="44"/>
      <c r="K1" s="45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</row>
    <row r="2" ht="31.5" customHeight="1">
      <c r="A2" s="42" t="s">
        <v>85</v>
      </c>
      <c r="B2" s="43" t="s">
        <v>275</v>
      </c>
      <c r="C2" s="44"/>
      <c r="D2" s="44"/>
      <c r="E2" s="44"/>
      <c r="F2" s="44"/>
      <c r="G2" s="44"/>
      <c r="H2" s="44"/>
      <c r="I2" s="44"/>
      <c r="J2" s="44"/>
      <c r="K2" s="45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</row>
    <row r="3" ht="31.5" customHeight="1">
      <c r="A3" s="46">
        <v>1.0</v>
      </c>
      <c r="B3" s="133" t="s">
        <v>276</v>
      </c>
      <c r="C3" s="44"/>
      <c r="D3" s="44"/>
      <c r="E3" s="44"/>
      <c r="F3" s="44"/>
      <c r="G3" s="44"/>
      <c r="H3" s="44"/>
      <c r="I3" s="44"/>
      <c r="J3" s="44"/>
      <c r="K3" s="45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</row>
    <row r="4" ht="31.5" customHeight="1">
      <c r="A4" s="46">
        <v>2.0</v>
      </c>
      <c r="B4" s="134" t="s">
        <v>277</v>
      </c>
      <c r="C4" s="44"/>
      <c r="D4" s="44"/>
      <c r="E4" s="44"/>
      <c r="F4" s="44"/>
      <c r="G4" s="44"/>
      <c r="H4" s="44"/>
      <c r="I4" s="44"/>
      <c r="J4" s="44"/>
      <c r="K4" s="45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</row>
    <row r="5" ht="31.5" customHeight="1">
      <c r="A5" s="46">
        <v>3.0</v>
      </c>
      <c r="B5" s="134" t="s">
        <v>278</v>
      </c>
      <c r="C5" s="44"/>
      <c r="D5" s="44"/>
      <c r="E5" s="44"/>
      <c r="F5" s="44"/>
      <c r="G5" s="44"/>
      <c r="H5" s="44"/>
      <c r="I5" s="44"/>
      <c r="J5" s="44"/>
      <c r="K5" s="45"/>
      <c r="L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</row>
    <row r="6" ht="31.5" customHeight="1">
      <c r="A6" s="46">
        <v>4.0</v>
      </c>
      <c r="B6" s="134" t="s">
        <v>279</v>
      </c>
      <c r="C6" s="44"/>
      <c r="D6" s="44"/>
      <c r="E6" s="44"/>
      <c r="F6" s="44"/>
      <c r="G6" s="44"/>
      <c r="H6" s="44"/>
      <c r="I6" s="44"/>
      <c r="J6" s="44"/>
      <c r="K6" s="45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</row>
    <row r="7" ht="31.5" customHeight="1">
      <c r="A7" s="135" t="s">
        <v>245</v>
      </c>
      <c r="B7" s="44"/>
      <c r="C7" s="44"/>
      <c r="D7" s="44"/>
      <c r="E7" s="44"/>
      <c r="F7" s="44"/>
      <c r="G7" s="44"/>
      <c r="H7" s="44"/>
      <c r="I7" s="44"/>
      <c r="J7" s="44"/>
      <c r="K7" s="45"/>
      <c r="L7" s="136"/>
      <c r="M7" s="136"/>
      <c r="N7" s="136"/>
      <c r="O7" s="136"/>
      <c r="P7" s="136"/>
      <c r="Q7" s="136"/>
      <c r="R7" s="136"/>
      <c r="S7" s="136"/>
      <c r="T7" s="136"/>
      <c r="U7" s="136"/>
      <c r="V7" s="136"/>
      <c r="W7" s="136"/>
      <c r="X7" s="136"/>
      <c r="Y7" s="136"/>
    </row>
    <row r="8" ht="31.5" customHeight="1"/>
    <row r="9" ht="31.5" customHeight="1">
      <c r="A9" s="137">
        <v>1.0</v>
      </c>
      <c r="B9" s="81" t="s">
        <v>246</v>
      </c>
      <c r="C9" s="138" t="s">
        <v>6</v>
      </c>
      <c r="D9" s="44"/>
      <c r="E9" s="44"/>
      <c r="F9" s="45"/>
      <c r="G9" s="81" t="s">
        <v>248</v>
      </c>
      <c r="H9" s="44"/>
      <c r="I9" s="44"/>
      <c r="J9" s="45"/>
      <c r="K9" s="82" t="s">
        <v>280</v>
      </c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</row>
    <row r="10" ht="31.5" customHeight="1">
      <c r="A10" s="86" t="s">
        <v>1</v>
      </c>
      <c r="B10" s="86" t="s">
        <v>250</v>
      </c>
      <c r="C10" s="81" t="s">
        <v>251</v>
      </c>
      <c r="D10" s="44"/>
      <c r="E10" s="44"/>
      <c r="F10" s="45"/>
      <c r="G10" s="81" t="s">
        <v>4</v>
      </c>
      <c r="H10" s="44"/>
      <c r="I10" s="44"/>
      <c r="J10" s="45"/>
      <c r="K10" s="86" t="s">
        <v>252</v>
      </c>
      <c r="L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</row>
    <row r="11" ht="31.5" customHeight="1">
      <c r="A11" s="139">
        <v>1.0</v>
      </c>
      <c r="B11" s="140" t="s">
        <v>101</v>
      </c>
      <c r="C11" s="141" t="s">
        <v>102</v>
      </c>
      <c r="D11" s="44"/>
      <c r="E11" s="44"/>
      <c r="F11" s="45"/>
      <c r="G11" s="141" t="s">
        <v>281</v>
      </c>
      <c r="H11" s="44"/>
      <c r="I11" s="44"/>
      <c r="J11" s="45"/>
      <c r="K11" s="140" t="s">
        <v>263</v>
      </c>
      <c r="L11" s="94"/>
      <c r="M11" s="95"/>
      <c r="N11" s="95"/>
      <c r="O11" s="95"/>
      <c r="P11" s="95"/>
      <c r="Q11" s="95"/>
      <c r="R11" s="94"/>
      <c r="S11" s="94"/>
      <c r="T11" s="94"/>
      <c r="U11" s="94"/>
      <c r="V11" s="94"/>
      <c r="W11" s="94"/>
      <c r="X11" s="94"/>
      <c r="Y11" s="94"/>
    </row>
    <row r="12" ht="31.5" customHeight="1">
      <c r="A12" s="139">
        <v>2.0</v>
      </c>
      <c r="B12" s="140" t="s">
        <v>107</v>
      </c>
      <c r="C12" s="141" t="s">
        <v>282</v>
      </c>
      <c r="D12" s="44"/>
      <c r="E12" s="44"/>
      <c r="F12" s="45"/>
      <c r="G12" s="141" t="s">
        <v>283</v>
      </c>
      <c r="H12" s="44"/>
      <c r="I12" s="44"/>
      <c r="J12" s="45"/>
      <c r="K12" s="142"/>
      <c r="L12" s="94"/>
      <c r="R12" s="94"/>
      <c r="S12" s="94"/>
      <c r="T12" s="94"/>
      <c r="U12" s="94"/>
      <c r="V12" s="94"/>
      <c r="W12" s="94"/>
      <c r="X12" s="94"/>
      <c r="Y12" s="94"/>
    </row>
    <row r="13" ht="31.5" customHeight="1">
      <c r="A13" s="139">
        <v>3.0</v>
      </c>
      <c r="B13" s="140" t="s">
        <v>113</v>
      </c>
      <c r="C13" s="141" t="s">
        <v>284</v>
      </c>
      <c r="D13" s="44"/>
      <c r="E13" s="44"/>
      <c r="F13" s="45"/>
      <c r="G13" s="141" t="s">
        <v>285</v>
      </c>
      <c r="H13" s="44"/>
      <c r="I13" s="44"/>
      <c r="J13" s="45"/>
      <c r="K13" s="140" t="s">
        <v>254</v>
      </c>
      <c r="L13" s="94"/>
      <c r="Q13" s="143"/>
      <c r="R13" s="94"/>
      <c r="S13" s="94"/>
      <c r="T13" s="94"/>
      <c r="U13" s="94"/>
      <c r="V13" s="94"/>
      <c r="W13" s="94"/>
      <c r="X13" s="94"/>
      <c r="Y13" s="94"/>
    </row>
    <row r="14" ht="31.5" customHeight="1">
      <c r="A14" s="139">
        <v>4.0</v>
      </c>
      <c r="B14" s="140" t="s">
        <v>119</v>
      </c>
      <c r="C14" s="141" t="s">
        <v>120</v>
      </c>
      <c r="D14" s="44"/>
      <c r="E14" s="44"/>
      <c r="F14" s="45"/>
      <c r="G14" s="141" t="s">
        <v>286</v>
      </c>
      <c r="H14" s="44"/>
      <c r="I14" s="44"/>
      <c r="J14" s="45"/>
      <c r="K14" s="142"/>
      <c r="L14" s="94"/>
      <c r="R14" s="94"/>
      <c r="S14" s="94"/>
      <c r="T14" s="94"/>
      <c r="U14" s="94"/>
      <c r="V14" s="94"/>
      <c r="W14" s="94"/>
      <c r="X14" s="94"/>
      <c r="Y14" s="94"/>
    </row>
    <row r="15" ht="31.5" customHeight="1">
      <c r="A15" s="139">
        <v>5.0</v>
      </c>
      <c r="B15" s="140" t="s">
        <v>101</v>
      </c>
      <c r="C15" s="141" t="s">
        <v>102</v>
      </c>
      <c r="D15" s="44"/>
      <c r="E15" s="44"/>
      <c r="F15" s="45"/>
      <c r="G15" s="141" t="s">
        <v>287</v>
      </c>
      <c r="H15" s="44"/>
      <c r="I15" s="44"/>
      <c r="J15" s="45"/>
      <c r="K15" s="140" t="s">
        <v>263</v>
      </c>
      <c r="L15" s="94"/>
      <c r="Q15" s="143"/>
      <c r="R15" s="94"/>
      <c r="S15" s="94"/>
      <c r="T15" s="94"/>
      <c r="U15" s="94"/>
      <c r="V15" s="94"/>
      <c r="W15" s="94"/>
      <c r="X15" s="94"/>
      <c r="Y15" s="94"/>
    </row>
    <row r="16" ht="31.5" customHeight="1">
      <c r="A16" s="98"/>
      <c r="B16" s="99"/>
      <c r="C16" s="100"/>
      <c r="D16" s="44"/>
      <c r="E16" s="44"/>
      <c r="F16" s="45"/>
      <c r="G16" s="100"/>
      <c r="H16" s="44"/>
      <c r="I16" s="44"/>
      <c r="J16" s="45"/>
      <c r="K16" s="99"/>
      <c r="L16" s="94"/>
      <c r="R16" s="94"/>
      <c r="S16" s="94"/>
      <c r="T16" s="94"/>
      <c r="U16" s="94"/>
      <c r="V16" s="94"/>
      <c r="W16" s="94"/>
      <c r="X16" s="94"/>
      <c r="Y16" s="94"/>
    </row>
    <row r="17" ht="31.5" customHeight="1">
      <c r="A17" s="139" t="s">
        <v>260</v>
      </c>
      <c r="B17" s="99"/>
      <c r="C17" s="100"/>
      <c r="D17" s="44"/>
      <c r="E17" s="44"/>
      <c r="F17" s="45"/>
      <c r="G17" s="100"/>
      <c r="H17" s="44"/>
      <c r="I17" s="44"/>
      <c r="J17" s="45"/>
      <c r="K17" s="99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</row>
    <row r="18" ht="31.5" customHeight="1">
      <c r="A18" s="144"/>
      <c r="B18" s="144"/>
      <c r="C18" s="144"/>
      <c r="D18" s="144"/>
      <c r="E18" s="144"/>
      <c r="F18" s="144"/>
      <c r="G18" s="144"/>
      <c r="H18" s="144"/>
      <c r="I18" s="144"/>
      <c r="J18" s="144"/>
      <c r="K18" s="144"/>
    </row>
    <row r="19" ht="31.5" customHeight="1">
      <c r="A19" s="137">
        <v>2.0</v>
      </c>
      <c r="B19" s="81" t="s">
        <v>246</v>
      </c>
      <c r="C19" s="145" t="s">
        <v>124</v>
      </c>
      <c r="D19" s="44"/>
      <c r="E19" s="44"/>
      <c r="F19" s="45"/>
      <c r="G19" s="81" t="s">
        <v>248</v>
      </c>
      <c r="H19" s="44"/>
      <c r="I19" s="44"/>
      <c r="J19" s="45"/>
      <c r="K19" s="82" t="s">
        <v>288</v>
      </c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</row>
    <row r="20" ht="31.5" customHeight="1">
      <c r="A20" s="86" t="s">
        <v>1</v>
      </c>
      <c r="B20" s="86" t="s">
        <v>250</v>
      </c>
      <c r="C20" s="81" t="s">
        <v>251</v>
      </c>
      <c r="D20" s="44"/>
      <c r="E20" s="44"/>
      <c r="F20" s="45"/>
      <c r="G20" s="81" t="s">
        <v>4</v>
      </c>
      <c r="H20" s="44"/>
      <c r="I20" s="44"/>
      <c r="J20" s="45"/>
      <c r="K20" s="86" t="s">
        <v>252</v>
      </c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</row>
    <row r="21" ht="31.5" customHeight="1">
      <c r="A21" s="139">
        <v>1.0</v>
      </c>
      <c r="B21" s="147" t="s">
        <v>122</v>
      </c>
      <c r="C21" s="148" t="s">
        <v>123</v>
      </c>
      <c r="D21" s="44"/>
      <c r="E21" s="44"/>
      <c r="F21" s="45"/>
      <c r="G21" s="148" t="s">
        <v>289</v>
      </c>
      <c r="H21" s="44"/>
      <c r="I21" s="44"/>
      <c r="J21" s="45"/>
      <c r="K21" s="147" t="s">
        <v>263</v>
      </c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</row>
    <row r="22" ht="31.5" customHeight="1">
      <c r="A22" s="139">
        <v>2.0</v>
      </c>
      <c r="B22" s="147" t="s">
        <v>101</v>
      </c>
      <c r="C22" s="148" t="s">
        <v>129</v>
      </c>
      <c r="D22" s="44"/>
      <c r="E22" s="44"/>
      <c r="F22" s="45"/>
      <c r="G22" s="148" t="s">
        <v>290</v>
      </c>
      <c r="H22" s="44"/>
      <c r="I22" s="44"/>
      <c r="J22" s="45"/>
      <c r="K22" s="147" t="s">
        <v>268</v>
      </c>
      <c r="L22" s="94"/>
      <c r="M22" s="96"/>
      <c r="N22" s="96"/>
      <c r="O22" s="96"/>
      <c r="P22" s="96"/>
      <c r="Q22" s="94"/>
      <c r="R22" s="94"/>
      <c r="S22" s="94"/>
      <c r="T22" s="94"/>
      <c r="U22" s="94"/>
      <c r="V22" s="94"/>
      <c r="W22" s="94"/>
      <c r="X22" s="94"/>
      <c r="Y22" s="94"/>
    </row>
    <row r="23" ht="31.5" customHeight="1">
      <c r="A23" s="139">
        <v>3.0</v>
      </c>
      <c r="B23" s="147" t="s">
        <v>131</v>
      </c>
      <c r="C23" s="148" t="s">
        <v>132</v>
      </c>
      <c r="D23" s="44"/>
      <c r="E23" s="44"/>
      <c r="F23" s="45"/>
      <c r="G23" s="148" t="s">
        <v>291</v>
      </c>
      <c r="H23" s="44"/>
      <c r="I23" s="44"/>
      <c r="J23" s="45"/>
      <c r="K23" s="147"/>
      <c r="L23" s="94"/>
      <c r="M23" s="96"/>
      <c r="N23" s="96"/>
      <c r="O23" s="96"/>
      <c r="P23" s="96"/>
      <c r="Q23" s="94"/>
      <c r="R23" s="94"/>
      <c r="S23" s="94"/>
      <c r="T23" s="94"/>
      <c r="U23" s="94"/>
      <c r="V23" s="94"/>
      <c r="W23" s="94"/>
      <c r="X23" s="94"/>
      <c r="Y23" s="94"/>
    </row>
    <row r="24" ht="31.5" customHeight="1">
      <c r="A24" s="139">
        <v>4.0</v>
      </c>
      <c r="B24" s="147" t="s">
        <v>137</v>
      </c>
      <c r="C24" s="148" t="s">
        <v>138</v>
      </c>
      <c r="D24" s="44"/>
      <c r="E24" s="44"/>
      <c r="F24" s="45"/>
      <c r="G24" s="148" t="s">
        <v>292</v>
      </c>
      <c r="H24" s="44"/>
      <c r="I24" s="44"/>
      <c r="J24" s="45"/>
      <c r="K24" s="147"/>
      <c r="L24" s="94"/>
      <c r="M24" s="96"/>
      <c r="N24" s="96"/>
      <c r="O24" s="96"/>
      <c r="P24" s="96"/>
      <c r="Q24" s="94"/>
      <c r="R24" s="94"/>
      <c r="S24" s="94"/>
      <c r="T24" s="94"/>
      <c r="U24" s="94"/>
      <c r="V24" s="94"/>
      <c r="W24" s="94"/>
      <c r="X24" s="94"/>
      <c r="Y24" s="94"/>
    </row>
    <row r="25" ht="31.5" customHeight="1">
      <c r="A25" s="139">
        <v>5.0</v>
      </c>
      <c r="B25" s="147" t="s">
        <v>122</v>
      </c>
      <c r="C25" s="148" t="s">
        <v>123</v>
      </c>
      <c r="D25" s="44"/>
      <c r="E25" s="44"/>
      <c r="F25" s="45"/>
      <c r="G25" s="148" t="s">
        <v>293</v>
      </c>
      <c r="H25" s="44"/>
      <c r="I25" s="44"/>
      <c r="J25" s="45"/>
      <c r="K25" s="147" t="s">
        <v>263</v>
      </c>
      <c r="L25" s="94"/>
      <c r="M25" s="96"/>
      <c r="N25" s="96"/>
      <c r="O25" s="96"/>
      <c r="P25" s="96"/>
      <c r="Q25" s="94"/>
      <c r="R25" s="94"/>
      <c r="S25" s="94"/>
      <c r="T25" s="94"/>
      <c r="U25" s="94"/>
      <c r="V25" s="94"/>
      <c r="W25" s="94"/>
      <c r="X25" s="94"/>
      <c r="Y25" s="94"/>
    </row>
    <row r="26" ht="31.5" customHeight="1">
      <c r="A26" s="98"/>
      <c r="B26" s="99"/>
      <c r="C26" s="100"/>
      <c r="D26" s="44"/>
      <c r="E26" s="44"/>
      <c r="F26" s="45"/>
      <c r="G26" s="100"/>
      <c r="H26" s="44"/>
      <c r="I26" s="44"/>
      <c r="J26" s="45"/>
      <c r="K26" s="99"/>
      <c r="L26" s="94"/>
      <c r="M26" s="96"/>
      <c r="N26" s="96"/>
      <c r="O26" s="96"/>
      <c r="P26" s="96"/>
      <c r="Q26" s="94"/>
      <c r="R26" s="94"/>
      <c r="S26" s="94"/>
      <c r="T26" s="94"/>
      <c r="U26" s="94"/>
      <c r="V26" s="94"/>
      <c r="W26" s="94"/>
      <c r="X26" s="94"/>
      <c r="Y26" s="94"/>
    </row>
    <row r="27" ht="31.5" customHeight="1">
      <c r="A27" s="139" t="s">
        <v>260</v>
      </c>
      <c r="B27" s="99"/>
      <c r="C27" s="100"/>
      <c r="D27" s="44"/>
      <c r="E27" s="44"/>
      <c r="F27" s="45"/>
      <c r="G27" s="100"/>
      <c r="H27" s="44"/>
      <c r="I27" s="44"/>
      <c r="J27" s="45"/>
      <c r="K27" s="99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</row>
    <row r="28" ht="31.5" customHeight="1">
      <c r="A28" s="144"/>
      <c r="B28" s="144"/>
      <c r="C28" s="144"/>
      <c r="D28" s="144"/>
      <c r="E28" s="144"/>
      <c r="F28" s="144"/>
      <c r="G28" s="144"/>
      <c r="H28" s="144"/>
      <c r="I28" s="144"/>
      <c r="J28" s="144"/>
      <c r="K28" s="144"/>
    </row>
    <row r="29" ht="31.5" customHeight="1">
      <c r="A29" s="144"/>
      <c r="B29" s="144"/>
      <c r="C29" s="144"/>
      <c r="D29" s="144"/>
      <c r="E29" s="144"/>
      <c r="F29" s="144"/>
      <c r="G29" s="144"/>
      <c r="H29" s="144"/>
      <c r="I29" s="144"/>
      <c r="J29" s="144"/>
      <c r="K29" s="144"/>
    </row>
    <row r="30" ht="31.5" customHeight="1">
      <c r="A30" s="149">
        <v>3.0</v>
      </c>
      <c r="B30" s="86" t="s">
        <v>246</v>
      </c>
      <c r="C30" s="145" t="s">
        <v>32</v>
      </c>
      <c r="D30" s="44"/>
      <c r="E30" s="44"/>
      <c r="F30" s="45"/>
      <c r="G30" s="81" t="s">
        <v>248</v>
      </c>
      <c r="H30" s="44"/>
      <c r="I30" s="44"/>
      <c r="J30" s="45"/>
      <c r="K30" s="82" t="s">
        <v>294</v>
      </c>
    </row>
    <row r="31" ht="31.5" customHeight="1">
      <c r="A31" s="86" t="s">
        <v>1</v>
      </c>
      <c r="B31" s="86" t="s">
        <v>250</v>
      </c>
      <c r="C31" s="81" t="s">
        <v>251</v>
      </c>
      <c r="D31" s="44"/>
      <c r="E31" s="44"/>
      <c r="F31" s="45"/>
      <c r="G31" s="81" t="s">
        <v>4</v>
      </c>
      <c r="H31" s="44"/>
      <c r="I31" s="44"/>
      <c r="J31" s="45"/>
      <c r="K31" s="86" t="s">
        <v>252</v>
      </c>
      <c r="L31" s="114"/>
      <c r="M31" s="95"/>
      <c r="N31" s="95"/>
      <c r="O31" s="95"/>
      <c r="P31" s="95"/>
      <c r="Q31" s="95"/>
      <c r="R31" s="114"/>
      <c r="S31" s="114"/>
      <c r="T31" s="114"/>
      <c r="U31" s="114"/>
      <c r="V31" s="114"/>
      <c r="W31" s="114"/>
      <c r="X31" s="114"/>
      <c r="Y31" s="114"/>
    </row>
    <row r="32" ht="31.5" customHeight="1">
      <c r="A32" s="139">
        <v>1.0</v>
      </c>
      <c r="B32" s="140" t="s">
        <v>143</v>
      </c>
      <c r="C32" s="141" t="s">
        <v>144</v>
      </c>
      <c r="D32" s="44"/>
      <c r="E32" s="44"/>
      <c r="F32" s="45"/>
      <c r="G32" s="141" t="s">
        <v>295</v>
      </c>
      <c r="H32" s="44"/>
      <c r="I32" s="44"/>
      <c r="J32" s="45"/>
      <c r="K32" s="140" t="s">
        <v>263</v>
      </c>
    </row>
    <row r="33" ht="31.5" customHeight="1">
      <c r="A33" s="139">
        <v>2.0</v>
      </c>
      <c r="B33" s="140" t="s">
        <v>149</v>
      </c>
      <c r="C33" s="141" t="s">
        <v>150</v>
      </c>
      <c r="D33" s="44"/>
      <c r="E33" s="44"/>
      <c r="F33" s="45"/>
      <c r="G33" s="141" t="s">
        <v>296</v>
      </c>
      <c r="H33" s="44"/>
      <c r="I33" s="44"/>
      <c r="J33" s="45"/>
      <c r="K33" s="150"/>
    </row>
    <row r="34" ht="31.5" customHeight="1">
      <c r="A34" s="139">
        <v>3.0</v>
      </c>
      <c r="B34" s="140" t="s">
        <v>155</v>
      </c>
      <c r="C34" s="141" t="s">
        <v>156</v>
      </c>
      <c r="D34" s="44"/>
      <c r="E34" s="44"/>
      <c r="F34" s="45"/>
      <c r="G34" s="141" t="s">
        <v>297</v>
      </c>
      <c r="H34" s="44"/>
      <c r="I34" s="44"/>
      <c r="J34" s="45"/>
      <c r="K34" s="150"/>
    </row>
    <row r="35" ht="31.5" customHeight="1">
      <c r="A35" s="139">
        <v>4.0</v>
      </c>
      <c r="B35" s="140" t="s">
        <v>122</v>
      </c>
      <c r="C35" s="141" t="s">
        <v>158</v>
      </c>
      <c r="D35" s="44"/>
      <c r="E35" s="44"/>
      <c r="F35" s="45"/>
      <c r="G35" s="141" t="s">
        <v>298</v>
      </c>
      <c r="H35" s="44"/>
      <c r="I35" s="44"/>
      <c r="J35" s="45"/>
      <c r="K35" s="140" t="s">
        <v>268</v>
      </c>
    </row>
    <row r="36" ht="31.5" customHeight="1">
      <c r="A36" s="139">
        <v>5.0</v>
      </c>
      <c r="B36" s="140" t="s">
        <v>143</v>
      </c>
      <c r="C36" s="141" t="s">
        <v>144</v>
      </c>
      <c r="D36" s="44"/>
      <c r="E36" s="44"/>
      <c r="F36" s="45"/>
      <c r="G36" s="141" t="s">
        <v>299</v>
      </c>
      <c r="H36" s="44"/>
      <c r="I36" s="44"/>
      <c r="J36" s="45"/>
      <c r="K36" s="140" t="s">
        <v>263</v>
      </c>
    </row>
    <row r="37" ht="31.5" customHeight="1">
      <c r="A37" s="98"/>
      <c r="B37" s="99"/>
      <c r="C37" s="100"/>
      <c r="D37" s="44"/>
      <c r="E37" s="44"/>
      <c r="F37" s="45"/>
      <c r="G37" s="100"/>
      <c r="H37" s="44"/>
      <c r="I37" s="44"/>
      <c r="J37" s="45"/>
      <c r="K37" s="99"/>
    </row>
    <row r="38" ht="31.5" customHeight="1">
      <c r="A38" s="139" t="s">
        <v>260</v>
      </c>
      <c r="B38" s="99"/>
      <c r="C38" s="100"/>
      <c r="D38" s="44"/>
      <c r="E38" s="44"/>
      <c r="F38" s="45"/>
      <c r="G38" s="100"/>
      <c r="H38" s="44"/>
      <c r="I38" s="44"/>
      <c r="J38" s="45"/>
      <c r="K38" s="99"/>
    </row>
    <row r="39" ht="31.5" customHeight="1"/>
    <row r="40" ht="48.0" customHeight="1">
      <c r="A40" s="149">
        <v>4.0</v>
      </c>
      <c r="B40" s="86" t="s">
        <v>246</v>
      </c>
      <c r="C40" s="145" t="s">
        <v>16</v>
      </c>
      <c r="D40" s="44"/>
      <c r="E40" s="44"/>
      <c r="F40" s="45"/>
      <c r="G40" s="81" t="s">
        <v>248</v>
      </c>
      <c r="H40" s="44"/>
      <c r="I40" s="44"/>
      <c r="J40" s="45"/>
      <c r="K40" s="82" t="s">
        <v>300</v>
      </c>
    </row>
    <row r="41" ht="31.5" customHeight="1">
      <c r="A41" s="86" t="s">
        <v>1</v>
      </c>
      <c r="B41" s="86" t="s">
        <v>250</v>
      </c>
      <c r="C41" s="81" t="s">
        <v>251</v>
      </c>
      <c r="D41" s="44"/>
      <c r="E41" s="44"/>
      <c r="F41" s="45"/>
      <c r="G41" s="81" t="s">
        <v>4</v>
      </c>
      <c r="H41" s="44"/>
      <c r="I41" s="44"/>
      <c r="J41" s="45"/>
      <c r="K41" s="86" t="s">
        <v>252</v>
      </c>
      <c r="M41" s="95"/>
      <c r="N41" s="95"/>
      <c r="O41" s="95"/>
      <c r="P41" s="95"/>
      <c r="Q41" s="95"/>
    </row>
    <row r="42" ht="31.5" customHeight="1">
      <c r="A42" s="139">
        <v>1.0</v>
      </c>
      <c r="B42" s="140" t="s">
        <v>160</v>
      </c>
      <c r="C42" s="141" t="s">
        <v>161</v>
      </c>
      <c r="D42" s="44"/>
      <c r="E42" s="44"/>
      <c r="F42" s="45"/>
      <c r="G42" s="141" t="s">
        <v>301</v>
      </c>
      <c r="H42" s="44"/>
      <c r="I42" s="44"/>
      <c r="J42" s="45"/>
      <c r="K42" s="140" t="s">
        <v>263</v>
      </c>
    </row>
    <row r="43" ht="31.5" customHeight="1">
      <c r="A43" s="139">
        <v>2.0</v>
      </c>
      <c r="B43" s="140" t="s">
        <v>166</v>
      </c>
      <c r="C43" s="141" t="s">
        <v>167</v>
      </c>
      <c r="D43" s="44"/>
      <c r="E43" s="44"/>
      <c r="F43" s="45"/>
      <c r="G43" s="141" t="s">
        <v>302</v>
      </c>
      <c r="H43" s="44"/>
      <c r="I43" s="44"/>
      <c r="J43" s="45"/>
      <c r="K43" s="150"/>
    </row>
    <row r="44" ht="31.5" customHeight="1">
      <c r="A44" s="139">
        <v>3.0</v>
      </c>
      <c r="B44" s="140" t="s">
        <v>122</v>
      </c>
      <c r="C44" s="141" t="s">
        <v>172</v>
      </c>
      <c r="D44" s="44"/>
      <c r="E44" s="44"/>
      <c r="F44" s="45"/>
      <c r="G44" s="141" t="s">
        <v>298</v>
      </c>
      <c r="H44" s="44"/>
      <c r="I44" s="44"/>
      <c r="J44" s="45"/>
      <c r="K44" s="140" t="s">
        <v>268</v>
      </c>
    </row>
    <row r="45" ht="31.5" customHeight="1">
      <c r="A45" s="139">
        <v>4.0</v>
      </c>
      <c r="B45" s="140" t="s">
        <v>160</v>
      </c>
      <c r="C45" s="141" t="s">
        <v>161</v>
      </c>
      <c r="D45" s="44"/>
      <c r="E45" s="44"/>
      <c r="F45" s="45"/>
      <c r="G45" s="141" t="s">
        <v>303</v>
      </c>
      <c r="H45" s="44"/>
      <c r="I45" s="44"/>
      <c r="J45" s="45"/>
      <c r="K45" s="140" t="s">
        <v>263</v>
      </c>
    </row>
    <row r="46" ht="31.5" customHeight="1">
      <c r="A46" s="139">
        <v>5.0</v>
      </c>
      <c r="B46" s="140" t="s">
        <v>166</v>
      </c>
      <c r="C46" s="141" t="s">
        <v>167</v>
      </c>
      <c r="D46" s="44"/>
      <c r="E46" s="44"/>
      <c r="F46" s="45"/>
      <c r="G46" s="141" t="s">
        <v>304</v>
      </c>
      <c r="H46" s="44"/>
      <c r="I46" s="44"/>
      <c r="J46" s="45"/>
      <c r="K46" s="150"/>
    </row>
    <row r="47" ht="31.5" customHeight="1">
      <c r="A47" s="98"/>
      <c r="B47" s="99"/>
      <c r="C47" s="100"/>
      <c r="D47" s="44"/>
      <c r="E47" s="44"/>
      <c r="F47" s="45"/>
      <c r="G47" s="100"/>
      <c r="H47" s="44"/>
      <c r="I47" s="44"/>
      <c r="J47" s="45"/>
      <c r="K47" s="99"/>
    </row>
    <row r="48" ht="31.5" customHeight="1">
      <c r="A48" s="139" t="s">
        <v>260</v>
      </c>
      <c r="B48" s="99"/>
      <c r="C48" s="100"/>
      <c r="D48" s="44"/>
      <c r="E48" s="44"/>
      <c r="F48" s="45"/>
      <c r="G48" s="100"/>
      <c r="H48" s="44"/>
      <c r="I48" s="44"/>
      <c r="J48" s="45"/>
      <c r="K48" s="99"/>
    </row>
    <row r="49" ht="31.5" customHeight="1"/>
    <row r="50" ht="63.0" customHeight="1">
      <c r="A50" s="149">
        <v>5.0</v>
      </c>
      <c r="B50" s="86" t="s">
        <v>246</v>
      </c>
      <c r="C50" s="145" t="s">
        <v>176</v>
      </c>
      <c r="D50" s="44"/>
      <c r="E50" s="44"/>
      <c r="F50" s="45"/>
      <c r="G50" s="81" t="s">
        <v>248</v>
      </c>
      <c r="H50" s="44"/>
      <c r="I50" s="44"/>
      <c r="J50" s="45"/>
      <c r="K50" s="82" t="s">
        <v>305</v>
      </c>
    </row>
    <row r="51" ht="31.5" customHeight="1">
      <c r="A51" s="86" t="s">
        <v>1</v>
      </c>
      <c r="B51" s="86" t="s">
        <v>250</v>
      </c>
      <c r="C51" s="81" t="s">
        <v>251</v>
      </c>
      <c r="D51" s="44"/>
      <c r="E51" s="44"/>
      <c r="F51" s="45"/>
      <c r="G51" s="81" t="s">
        <v>4</v>
      </c>
      <c r="H51" s="44"/>
      <c r="I51" s="44"/>
      <c r="J51" s="45"/>
      <c r="K51" s="86" t="s">
        <v>252</v>
      </c>
      <c r="M51" s="95"/>
      <c r="N51" s="95"/>
      <c r="O51" s="95"/>
      <c r="P51" s="95"/>
      <c r="Q51" s="95"/>
    </row>
    <row r="52" ht="31.5" customHeight="1">
      <c r="A52" s="139">
        <v>1.0</v>
      </c>
      <c r="B52" s="140" t="s">
        <v>174</v>
      </c>
      <c r="C52" s="141" t="s">
        <v>175</v>
      </c>
      <c r="D52" s="44"/>
      <c r="E52" s="44"/>
      <c r="F52" s="45"/>
      <c r="G52" s="141" t="s">
        <v>306</v>
      </c>
      <c r="H52" s="44"/>
      <c r="I52" s="44"/>
      <c r="J52" s="45"/>
      <c r="K52" s="140" t="s">
        <v>263</v>
      </c>
    </row>
    <row r="53" ht="31.5" customHeight="1">
      <c r="A53" s="139">
        <v>2.0</v>
      </c>
      <c r="B53" s="140" t="s">
        <v>181</v>
      </c>
      <c r="C53" s="141" t="s">
        <v>182</v>
      </c>
      <c r="D53" s="44"/>
      <c r="E53" s="44"/>
      <c r="F53" s="45"/>
      <c r="G53" s="141" t="s">
        <v>307</v>
      </c>
      <c r="H53" s="44"/>
      <c r="I53" s="44"/>
      <c r="J53" s="45"/>
      <c r="K53" s="150"/>
    </row>
    <row r="54" ht="31.5" customHeight="1">
      <c r="A54" s="139">
        <v>3.0</v>
      </c>
      <c r="B54" s="140" t="s">
        <v>187</v>
      </c>
      <c r="C54" s="141" t="s">
        <v>188</v>
      </c>
      <c r="D54" s="44"/>
      <c r="E54" s="44"/>
      <c r="F54" s="45"/>
      <c r="G54" s="141" t="s">
        <v>308</v>
      </c>
      <c r="H54" s="44"/>
      <c r="I54" s="44"/>
      <c r="J54" s="45"/>
      <c r="K54" s="150"/>
    </row>
    <row r="55" ht="31.5" customHeight="1">
      <c r="A55" s="139">
        <v>4.0</v>
      </c>
      <c r="B55" s="140" t="s">
        <v>160</v>
      </c>
      <c r="C55" s="141" t="s">
        <v>190</v>
      </c>
      <c r="D55" s="44"/>
      <c r="E55" s="44"/>
      <c r="F55" s="45"/>
      <c r="G55" s="141" t="s">
        <v>309</v>
      </c>
      <c r="H55" s="44"/>
      <c r="I55" s="44"/>
      <c r="J55" s="45"/>
      <c r="K55" s="140" t="s">
        <v>268</v>
      </c>
    </row>
    <row r="56" ht="31.5" customHeight="1">
      <c r="A56" s="139">
        <v>5.0</v>
      </c>
      <c r="B56" s="140" t="s">
        <v>174</v>
      </c>
      <c r="C56" s="141" t="s">
        <v>175</v>
      </c>
      <c r="D56" s="44"/>
      <c r="E56" s="44"/>
      <c r="F56" s="45"/>
      <c r="G56" s="141" t="s">
        <v>310</v>
      </c>
      <c r="H56" s="44"/>
      <c r="I56" s="44"/>
      <c r="J56" s="45"/>
      <c r="K56" s="140" t="s">
        <v>263</v>
      </c>
    </row>
    <row r="57" ht="31.5" customHeight="1">
      <c r="A57" s="98"/>
      <c r="B57" s="99"/>
      <c r="C57" s="100"/>
      <c r="D57" s="44"/>
      <c r="E57" s="44"/>
      <c r="F57" s="45"/>
      <c r="G57" s="100"/>
      <c r="H57" s="44"/>
      <c r="I57" s="44"/>
      <c r="J57" s="45"/>
      <c r="K57" s="99"/>
    </row>
    <row r="58" ht="31.5" customHeight="1">
      <c r="A58" s="139" t="s">
        <v>260</v>
      </c>
      <c r="B58" s="99"/>
      <c r="C58" s="100"/>
      <c r="D58" s="44"/>
      <c r="E58" s="44"/>
      <c r="F58" s="45"/>
      <c r="G58" s="100"/>
      <c r="H58" s="44"/>
      <c r="I58" s="44"/>
      <c r="J58" s="45"/>
      <c r="K58" s="99"/>
    </row>
    <row r="59" ht="31.5" customHeight="1"/>
    <row r="60" ht="31.5" customHeight="1"/>
    <row r="61" ht="31.5" customHeight="1">
      <c r="A61" s="149">
        <v>6.0</v>
      </c>
      <c r="B61" s="86" t="s">
        <v>246</v>
      </c>
      <c r="C61" s="145" t="s">
        <v>38</v>
      </c>
      <c r="D61" s="44"/>
      <c r="E61" s="44"/>
      <c r="F61" s="45"/>
      <c r="G61" s="81" t="s">
        <v>248</v>
      </c>
      <c r="H61" s="44"/>
      <c r="I61" s="44"/>
      <c r="J61" s="45"/>
      <c r="K61" s="82" t="s">
        <v>311</v>
      </c>
    </row>
    <row r="62" ht="31.5" customHeight="1">
      <c r="A62" s="86" t="s">
        <v>1</v>
      </c>
      <c r="B62" s="86" t="s">
        <v>250</v>
      </c>
      <c r="C62" s="81" t="s">
        <v>251</v>
      </c>
      <c r="D62" s="44"/>
      <c r="E62" s="44"/>
      <c r="F62" s="45"/>
      <c r="G62" s="81" t="s">
        <v>4</v>
      </c>
      <c r="H62" s="44"/>
      <c r="I62" s="44"/>
      <c r="J62" s="45"/>
      <c r="K62" s="86" t="s">
        <v>252</v>
      </c>
    </row>
    <row r="63" ht="31.5" customHeight="1">
      <c r="A63" s="139">
        <v>1.0</v>
      </c>
      <c r="B63" s="140" t="s">
        <v>192</v>
      </c>
      <c r="C63" s="141" t="s">
        <v>193</v>
      </c>
      <c r="D63" s="44"/>
      <c r="E63" s="44"/>
      <c r="F63" s="45"/>
      <c r="G63" s="141" t="s">
        <v>312</v>
      </c>
      <c r="H63" s="44"/>
      <c r="I63" s="44"/>
      <c r="J63" s="45"/>
      <c r="K63" s="140" t="s">
        <v>263</v>
      </c>
      <c r="M63" s="95"/>
      <c r="N63" s="95"/>
      <c r="O63" s="95"/>
      <c r="P63" s="95"/>
      <c r="Q63" s="95"/>
    </row>
    <row r="64" ht="31.5" customHeight="1">
      <c r="A64" s="139">
        <v>2.0</v>
      </c>
      <c r="B64" s="140" t="s">
        <v>198</v>
      </c>
      <c r="C64" s="141" t="s">
        <v>199</v>
      </c>
      <c r="D64" s="44"/>
      <c r="E64" s="44"/>
      <c r="F64" s="45"/>
      <c r="G64" s="141" t="s">
        <v>313</v>
      </c>
      <c r="H64" s="44"/>
      <c r="I64" s="44"/>
      <c r="J64" s="45"/>
      <c r="K64" s="150"/>
    </row>
    <row r="65" ht="31.5" customHeight="1">
      <c r="A65" s="139">
        <v>3.0</v>
      </c>
      <c r="B65" s="140" t="s">
        <v>201</v>
      </c>
      <c r="C65" s="141" t="s">
        <v>202</v>
      </c>
      <c r="D65" s="44"/>
      <c r="E65" s="44"/>
      <c r="F65" s="45"/>
      <c r="G65" s="141" t="s">
        <v>314</v>
      </c>
      <c r="H65" s="44"/>
      <c r="I65" s="44"/>
      <c r="J65" s="45"/>
      <c r="K65" s="150"/>
    </row>
    <row r="66" ht="31.5" customHeight="1">
      <c r="A66" s="139">
        <v>4.0</v>
      </c>
      <c r="B66" s="140" t="s">
        <v>101</v>
      </c>
      <c r="C66" s="141" t="s">
        <v>207</v>
      </c>
      <c r="D66" s="44"/>
      <c r="E66" s="44"/>
      <c r="F66" s="45"/>
      <c r="G66" s="141" t="s">
        <v>315</v>
      </c>
      <c r="H66" s="44"/>
      <c r="I66" s="44"/>
      <c r="J66" s="45"/>
      <c r="K66" s="140" t="s">
        <v>268</v>
      </c>
    </row>
    <row r="67" ht="31.5" customHeight="1">
      <c r="A67" s="139">
        <v>5.0</v>
      </c>
      <c r="B67" s="140" t="s">
        <v>192</v>
      </c>
      <c r="C67" s="141" t="s">
        <v>193</v>
      </c>
      <c r="D67" s="44"/>
      <c r="E67" s="44"/>
      <c r="F67" s="45"/>
      <c r="G67" s="141" t="s">
        <v>316</v>
      </c>
      <c r="H67" s="44"/>
      <c r="I67" s="44"/>
      <c r="J67" s="45"/>
      <c r="K67" s="140" t="s">
        <v>263</v>
      </c>
    </row>
    <row r="68" ht="31.5" customHeight="1">
      <c r="A68" s="98"/>
      <c r="B68" s="99"/>
      <c r="C68" s="100"/>
      <c r="D68" s="44"/>
      <c r="E68" s="44"/>
      <c r="F68" s="45"/>
      <c r="G68" s="100"/>
      <c r="H68" s="44"/>
      <c r="I68" s="44"/>
      <c r="J68" s="45"/>
      <c r="K68" s="99"/>
    </row>
    <row r="69" ht="31.5" customHeight="1">
      <c r="A69" s="139" t="s">
        <v>260</v>
      </c>
      <c r="B69" s="99"/>
      <c r="C69" s="100"/>
      <c r="D69" s="44"/>
      <c r="E69" s="44"/>
      <c r="F69" s="45"/>
      <c r="G69" s="100"/>
      <c r="H69" s="44"/>
      <c r="I69" s="44"/>
      <c r="J69" s="45"/>
      <c r="K69" s="99"/>
    </row>
    <row r="70" ht="31.5" customHeight="1"/>
    <row r="71" ht="31.5" customHeight="1"/>
    <row r="72" ht="31.5" customHeight="1">
      <c r="A72" s="149">
        <v>7.0</v>
      </c>
      <c r="B72" s="81" t="s">
        <v>246</v>
      </c>
      <c r="C72" s="145" t="s">
        <v>211</v>
      </c>
      <c r="D72" s="44"/>
      <c r="E72" s="44"/>
      <c r="F72" s="45"/>
      <c r="G72" s="81" t="s">
        <v>248</v>
      </c>
      <c r="H72" s="44"/>
      <c r="I72" s="44"/>
      <c r="J72" s="45"/>
      <c r="K72" s="82" t="s">
        <v>317</v>
      </c>
    </row>
    <row r="73" ht="31.5" customHeight="1">
      <c r="A73" s="86" t="s">
        <v>1</v>
      </c>
      <c r="B73" s="86" t="s">
        <v>250</v>
      </c>
      <c r="C73" s="81" t="s">
        <v>251</v>
      </c>
      <c r="D73" s="44"/>
      <c r="E73" s="44"/>
      <c r="F73" s="45"/>
      <c r="G73" s="81" t="s">
        <v>4</v>
      </c>
      <c r="H73" s="44"/>
      <c r="I73" s="44"/>
      <c r="J73" s="45"/>
      <c r="K73" s="86" t="s">
        <v>252</v>
      </c>
      <c r="M73" s="95"/>
      <c r="N73" s="95"/>
      <c r="O73" s="95"/>
      <c r="P73" s="95"/>
      <c r="Q73" s="95"/>
    </row>
    <row r="74" ht="31.5" customHeight="1">
      <c r="A74" s="139">
        <v>1.0</v>
      </c>
      <c r="B74" s="47" t="s">
        <v>209</v>
      </c>
      <c r="C74" s="47" t="s">
        <v>210</v>
      </c>
      <c r="G74" s="47" t="s">
        <v>318</v>
      </c>
      <c r="K74" s="47" t="s">
        <v>263</v>
      </c>
    </row>
    <row r="75" ht="31.5" customHeight="1">
      <c r="A75" s="139">
        <v>2.0</v>
      </c>
      <c r="B75" s="47" t="s">
        <v>192</v>
      </c>
      <c r="C75" s="47" t="s">
        <v>216</v>
      </c>
      <c r="G75" s="47" t="s">
        <v>319</v>
      </c>
      <c r="K75" s="47" t="s">
        <v>268</v>
      </c>
    </row>
    <row r="76" ht="31.5" customHeight="1">
      <c r="A76" s="139">
        <v>3.0</v>
      </c>
      <c r="B76" s="47" t="s">
        <v>143</v>
      </c>
      <c r="C76" s="47" t="s">
        <v>218</v>
      </c>
      <c r="G76" s="47" t="s">
        <v>320</v>
      </c>
      <c r="K76" s="47" t="s">
        <v>268</v>
      </c>
    </row>
    <row r="77" ht="31.5" customHeight="1">
      <c r="A77" s="139">
        <v>4.0</v>
      </c>
      <c r="B77" s="47" t="s">
        <v>220</v>
      </c>
      <c r="C77" s="47" t="s">
        <v>221</v>
      </c>
      <c r="G77" s="47" t="s">
        <v>321</v>
      </c>
    </row>
    <row r="78" ht="31.5" customHeight="1">
      <c r="A78" s="139">
        <v>5.0</v>
      </c>
      <c r="B78" s="47" t="s">
        <v>223</v>
      </c>
      <c r="C78" s="47" t="s">
        <v>224</v>
      </c>
      <c r="G78" s="47" t="s">
        <v>322</v>
      </c>
    </row>
    <row r="79" ht="31.5" customHeight="1">
      <c r="A79" s="98"/>
      <c r="B79" s="99"/>
      <c r="C79" s="100"/>
      <c r="D79" s="44"/>
      <c r="E79" s="44"/>
      <c r="F79" s="45"/>
      <c r="G79" s="100"/>
      <c r="H79" s="44"/>
      <c r="I79" s="44"/>
      <c r="J79" s="45"/>
      <c r="K79" s="99"/>
    </row>
    <row r="80" ht="31.5" customHeight="1">
      <c r="A80" s="139" t="s">
        <v>260</v>
      </c>
      <c r="B80" s="99"/>
      <c r="C80" s="100"/>
      <c r="D80" s="44"/>
      <c r="E80" s="44"/>
      <c r="F80" s="45"/>
      <c r="G80" s="100"/>
      <c r="H80" s="44"/>
      <c r="I80" s="44"/>
      <c r="J80" s="45"/>
      <c r="K80" s="99"/>
    </row>
    <row r="81" ht="31.5" customHeight="1"/>
    <row r="82" ht="31.5" customHeight="1"/>
    <row r="83" ht="31.5" customHeight="1">
      <c r="A83" s="151"/>
      <c r="B83" s="152"/>
      <c r="C83" s="153"/>
      <c r="G83" s="152"/>
      <c r="K83" s="152"/>
    </row>
    <row r="84" ht="31.5" customHeight="1">
      <c r="A84" s="152"/>
      <c r="B84" s="152"/>
      <c r="C84" s="152"/>
      <c r="G84" s="152"/>
      <c r="K84" s="152"/>
    </row>
    <row r="85" ht="31.5" customHeight="1">
      <c r="A85" s="152"/>
      <c r="B85" s="96"/>
      <c r="C85" s="96"/>
      <c r="G85" s="96"/>
      <c r="K85" s="96"/>
    </row>
    <row r="86" ht="31.5" customHeight="1">
      <c r="A86" s="152"/>
      <c r="B86" s="96"/>
      <c r="C86" s="96"/>
      <c r="G86" s="96"/>
      <c r="K86" s="96"/>
    </row>
    <row r="87" ht="31.5" customHeight="1">
      <c r="A87" s="152"/>
      <c r="B87" s="96"/>
      <c r="C87" s="96"/>
      <c r="G87" s="96"/>
      <c r="K87" s="96"/>
    </row>
    <row r="88" ht="31.5" customHeight="1">
      <c r="A88" s="152"/>
      <c r="B88" s="96"/>
      <c r="C88" s="96"/>
      <c r="G88" s="96"/>
      <c r="K88" s="96"/>
    </row>
    <row r="89" ht="31.5" customHeight="1">
      <c r="A89" s="152"/>
      <c r="B89" s="96"/>
      <c r="C89" s="96"/>
      <c r="G89" s="96"/>
      <c r="K89" s="96"/>
    </row>
    <row r="90" ht="31.5" customHeight="1">
      <c r="A90" s="154"/>
      <c r="B90" s="155"/>
      <c r="C90" s="155"/>
      <c r="G90" s="155"/>
      <c r="K90" s="155"/>
    </row>
    <row r="91" ht="31.5" customHeight="1">
      <c r="A91" s="152"/>
      <c r="B91" s="155"/>
      <c r="C91" s="155"/>
      <c r="G91" s="155"/>
      <c r="K91" s="155"/>
    </row>
    <row r="92" ht="31.5" customHeight="1"/>
    <row r="93" ht="31.5" customHeight="1"/>
    <row r="94" ht="31.5" customHeight="1"/>
    <row r="95" ht="31.5" customHeight="1"/>
    <row r="96" ht="31.5" customHeight="1"/>
    <row r="97" ht="31.5" customHeight="1"/>
    <row r="98" ht="31.5" customHeight="1"/>
    <row r="99" ht="31.5" customHeight="1"/>
    <row r="100" ht="31.5" customHeight="1"/>
    <row r="101" ht="31.5" customHeight="1"/>
    <row r="102" ht="31.5" customHeight="1"/>
    <row r="103" ht="31.5" customHeight="1"/>
    <row r="104" ht="31.5" customHeight="1"/>
    <row r="105" ht="31.5" customHeight="1"/>
    <row r="106" ht="31.5" customHeight="1"/>
    <row r="107" ht="31.5" customHeight="1"/>
    <row r="108" ht="31.5" customHeight="1"/>
    <row r="109" ht="31.5" customHeight="1"/>
    <row r="110" ht="31.5" customHeight="1"/>
    <row r="111" ht="31.5" customHeight="1"/>
    <row r="112" ht="31.5" customHeight="1"/>
    <row r="113" ht="31.5" customHeight="1"/>
    <row r="114" ht="31.5" customHeight="1"/>
    <row r="115" ht="31.5" customHeight="1"/>
    <row r="116" ht="31.5" customHeight="1"/>
    <row r="117" ht="31.5" customHeight="1"/>
    <row r="118" ht="31.5" customHeight="1"/>
    <row r="119" ht="31.5" customHeight="1"/>
    <row r="120" ht="31.5" customHeight="1"/>
    <row r="121" ht="31.5" customHeight="1"/>
    <row r="122" ht="31.5" customHeight="1"/>
    <row r="123" ht="31.5" customHeight="1"/>
    <row r="124" ht="31.5" customHeight="1"/>
    <row r="125" ht="31.5" customHeight="1"/>
    <row r="126" ht="31.5" customHeight="1"/>
    <row r="127" ht="31.5" customHeight="1"/>
    <row r="128" ht="31.5" customHeight="1"/>
    <row r="129" ht="31.5" customHeight="1"/>
    <row r="130" ht="31.5" customHeight="1"/>
    <row r="131" ht="31.5" customHeight="1"/>
    <row r="132" ht="31.5" customHeight="1"/>
    <row r="133" ht="31.5" customHeight="1"/>
    <row r="134" ht="31.5" customHeight="1"/>
    <row r="135" ht="31.5" customHeight="1"/>
    <row r="136" ht="31.5" customHeight="1"/>
    <row r="137" ht="31.5" customHeight="1"/>
    <row r="138" ht="31.5" customHeight="1"/>
    <row r="139" ht="31.5" customHeight="1"/>
    <row r="140" ht="31.5" customHeight="1"/>
    <row r="141" ht="31.5" customHeight="1"/>
    <row r="142" ht="31.5" customHeight="1"/>
    <row r="143" ht="31.5" customHeight="1"/>
    <row r="144" ht="31.5" customHeight="1"/>
    <row r="145" ht="31.5" customHeight="1"/>
    <row r="146" ht="31.5" customHeight="1"/>
    <row r="147" ht="31.5" customHeight="1"/>
    <row r="148" ht="31.5" customHeight="1"/>
    <row r="149" ht="31.5" customHeight="1"/>
    <row r="150" ht="31.5" customHeight="1"/>
    <row r="151" ht="31.5" customHeight="1"/>
    <row r="152" ht="31.5" customHeight="1"/>
    <row r="153" ht="31.5" customHeight="1"/>
    <row r="154" ht="31.5" customHeight="1"/>
    <row r="155" ht="31.5" customHeight="1"/>
    <row r="156" ht="31.5" customHeight="1"/>
    <row r="157" ht="31.5" customHeight="1"/>
    <row r="158" ht="31.5" customHeight="1"/>
    <row r="159" ht="31.5" customHeight="1"/>
    <row r="160" ht="31.5" customHeight="1"/>
    <row r="161" ht="31.5" customHeight="1"/>
    <row r="162" ht="31.5" customHeight="1"/>
    <row r="163" ht="31.5" customHeight="1"/>
    <row r="164" ht="31.5" customHeight="1"/>
    <row r="165" ht="31.5" customHeight="1"/>
    <row r="166" ht="31.5" customHeight="1"/>
    <row r="167" ht="31.5" customHeight="1"/>
    <row r="168" ht="31.5" customHeight="1"/>
    <row r="169" ht="31.5" customHeight="1"/>
    <row r="170" ht="31.5" customHeight="1"/>
    <row r="171" ht="31.5" customHeight="1"/>
    <row r="172" ht="31.5" customHeight="1"/>
    <row r="173" ht="31.5" customHeight="1"/>
    <row r="174" ht="31.5" customHeight="1"/>
    <row r="175" ht="31.5" customHeight="1"/>
    <row r="176" ht="31.5" customHeight="1"/>
    <row r="177" ht="31.5" customHeight="1"/>
    <row r="178" ht="31.5" customHeight="1"/>
    <row r="179" ht="31.5" customHeight="1"/>
    <row r="180" ht="31.5" customHeight="1"/>
    <row r="181" ht="31.5" customHeight="1"/>
    <row r="182" ht="31.5" customHeight="1"/>
    <row r="183" ht="31.5" customHeight="1"/>
    <row r="184" ht="31.5" customHeight="1"/>
    <row r="185" ht="31.5" customHeight="1"/>
    <row r="186" ht="31.5" customHeight="1"/>
    <row r="187" ht="31.5" customHeight="1"/>
    <row r="188" ht="31.5" customHeight="1"/>
    <row r="189" ht="31.5" customHeight="1"/>
    <row r="190" ht="31.5" customHeight="1"/>
    <row r="191" ht="31.5" customHeight="1"/>
    <row r="192" ht="31.5" customHeight="1"/>
    <row r="193" ht="31.5" customHeight="1"/>
    <row r="194" ht="31.5" customHeight="1"/>
    <row r="195" ht="31.5" customHeight="1"/>
    <row r="196" ht="31.5" customHeight="1"/>
    <row r="197" ht="31.5" customHeight="1"/>
    <row r="198" ht="31.5" customHeight="1"/>
    <row r="199" ht="31.5" customHeight="1"/>
    <row r="200" ht="31.5" customHeight="1"/>
    <row r="201" ht="31.5" customHeight="1"/>
    <row r="202" ht="31.5" customHeight="1"/>
    <row r="203" ht="31.5" customHeight="1"/>
    <row r="204" ht="31.5" customHeight="1"/>
    <row r="205" ht="31.5" customHeight="1"/>
    <row r="206" ht="31.5" customHeight="1"/>
    <row r="207" ht="31.5" customHeight="1"/>
    <row r="208" ht="31.5" customHeight="1"/>
    <row r="209" ht="31.5" customHeight="1"/>
    <row r="210" ht="31.5" customHeight="1"/>
    <row r="211" ht="31.5" customHeight="1"/>
    <row r="212" ht="31.5" customHeight="1"/>
    <row r="213" ht="31.5" customHeight="1"/>
    <row r="214" ht="31.5" customHeight="1"/>
    <row r="215" ht="31.5" customHeight="1"/>
    <row r="216" ht="31.5" customHeight="1"/>
    <row r="217" ht="31.5" customHeight="1"/>
    <row r="218" ht="31.5" customHeight="1"/>
    <row r="219" ht="31.5" customHeight="1"/>
    <row r="220" ht="31.5" customHeight="1"/>
    <row r="221" ht="31.5" customHeight="1"/>
    <row r="222" ht="31.5" customHeight="1"/>
    <row r="223" ht="31.5" customHeight="1"/>
    <row r="224" ht="31.5" customHeight="1"/>
    <row r="225" ht="31.5" customHeight="1"/>
    <row r="226" ht="31.5" customHeight="1"/>
    <row r="227" ht="31.5" customHeight="1"/>
    <row r="228" ht="31.5" customHeight="1"/>
    <row r="229" ht="31.5" customHeight="1"/>
    <row r="230" ht="31.5" customHeight="1"/>
    <row r="231" ht="31.5" customHeight="1"/>
    <row r="232" ht="31.5" customHeight="1"/>
    <row r="233" ht="31.5" customHeight="1"/>
    <row r="234" ht="31.5" customHeight="1"/>
    <row r="235" ht="31.5" customHeight="1"/>
    <row r="236" ht="31.5" customHeight="1"/>
    <row r="237" ht="31.5" customHeight="1"/>
    <row r="238" ht="31.5" customHeight="1"/>
    <row r="239" ht="31.5" customHeight="1"/>
    <row r="240" ht="31.5" customHeight="1"/>
    <row r="241" ht="31.5" customHeight="1"/>
    <row r="242" ht="31.5" customHeight="1"/>
    <row r="243" ht="31.5" customHeight="1"/>
    <row r="244" ht="31.5" customHeight="1"/>
    <row r="245" ht="31.5" customHeight="1"/>
    <row r="246" ht="31.5" customHeight="1"/>
    <row r="247" ht="31.5" customHeight="1"/>
    <row r="248" ht="31.5" customHeight="1"/>
    <row r="249" ht="31.5" customHeight="1"/>
    <row r="250" ht="31.5" customHeight="1"/>
    <row r="251" ht="31.5" customHeight="1"/>
    <row r="252" ht="31.5" customHeight="1"/>
    <row r="253" ht="31.5" customHeight="1"/>
    <row r="254" ht="31.5" customHeight="1"/>
    <row r="255" ht="31.5" customHeight="1"/>
    <row r="256" ht="31.5" customHeight="1"/>
    <row r="257" ht="31.5" customHeight="1"/>
    <row r="258" ht="31.5" customHeight="1"/>
    <row r="259" ht="31.5" customHeight="1"/>
    <row r="260" ht="31.5" customHeight="1"/>
    <row r="261" ht="31.5" customHeight="1"/>
    <row r="262" ht="31.5" customHeight="1"/>
    <row r="263" ht="31.5" customHeight="1"/>
    <row r="264" ht="31.5" customHeight="1"/>
    <row r="265" ht="31.5" customHeight="1"/>
    <row r="266" ht="31.5" customHeight="1"/>
    <row r="267" ht="31.5" customHeight="1"/>
    <row r="268" ht="31.5" customHeight="1"/>
    <row r="269" ht="31.5" customHeight="1"/>
    <row r="270" ht="31.5" customHeight="1"/>
    <row r="271" ht="31.5" customHeight="1"/>
    <row r="272" ht="31.5" customHeight="1"/>
    <row r="273" ht="31.5" customHeight="1"/>
    <row r="274" ht="31.5" customHeight="1"/>
    <row r="275" ht="31.5" customHeight="1"/>
    <row r="276" ht="31.5" customHeight="1"/>
    <row r="277" ht="31.5" customHeight="1"/>
    <row r="278" ht="31.5" customHeight="1"/>
    <row r="279" ht="31.5" customHeight="1"/>
    <row r="280" ht="31.5" customHeight="1"/>
    <row r="281" ht="31.5" customHeight="1"/>
    <row r="282" ht="31.5" customHeight="1"/>
    <row r="283" ht="31.5" customHeight="1"/>
    <row r="284" ht="31.5" customHeight="1"/>
    <row r="285" ht="31.5" customHeight="1"/>
    <row r="286" ht="31.5" customHeight="1"/>
    <row r="287" ht="31.5" customHeight="1"/>
    <row r="288" ht="31.5" customHeight="1"/>
    <row r="289" ht="31.5" customHeight="1"/>
    <row r="290" ht="31.5" customHeight="1"/>
    <row r="291" ht="31.5" customHeight="1"/>
    <row r="292" ht="31.5" customHeight="1"/>
    <row r="293" ht="31.5" customHeight="1"/>
    <row r="294" ht="31.5" customHeight="1"/>
    <row r="295" ht="31.5" customHeight="1"/>
    <row r="296" ht="31.5" customHeight="1"/>
    <row r="297" ht="31.5" customHeight="1"/>
    <row r="298" ht="31.5" customHeight="1"/>
    <row r="299" ht="31.5" customHeight="1"/>
    <row r="300" ht="31.5" customHeight="1"/>
    <row r="301" ht="31.5" customHeight="1"/>
    <row r="302" ht="31.5" customHeight="1"/>
    <row r="303" ht="31.5" customHeight="1"/>
    <row r="304" ht="31.5" customHeight="1"/>
    <row r="305" ht="31.5" customHeight="1"/>
    <row r="306" ht="31.5" customHeight="1"/>
    <row r="307" ht="31.5" customHeight="1"/>
    <row r="308" ht="31.5" customHeight="1"/>
    <row r="309" ht="31.5" customHeight="1"/>
    <row r="310" ht="31.5" customHeight="1"/>
    <row r="311" ht="31.5" customHeight="1"/>
    <row r="312" ht="31.5" customHeight="1"/>
    <row r="313" ht="31.5" customHeight="1"/>
    <row r="314" ht="31.5" customHeight="1"/>
    <row r="315" ht="31.5" customHeight="1"/>
    <row r="316" ht="31.5" customHeight="1"/>
    <row r="317" ht="31.5" customHeight="1"/>
    <row r="318" ht="31.5" customHeight="1"/>
    <row r="319" ht="31.5" customHeight="1"/>
    <row r="320" ht="31.5" customHeight="1"/>
    <row r="321" ht="31.5" customHeight="1"/>
    <row r="322" ht="31.5" customHeight="1"/>
    <row r="323" ht="31.5" customHeight="1"/>
    <row r="324" ht="31.5" customHeight="1"/>
    <row r="325" ht="31.5" customHeight="1"/>
    <row r="326" ht="31.5" customHeight="1"/>
    <row r="327" ht="31.5" customHeight="1"/>
    <row r="328" ht="31.5" customHeight="1"/>
    <row r="329" ht="31.5" customHeight="1"/>
    <row r="330" ht="31.5" customHeight="1"/>
    <row r="331" ht="31.5" customHeight="1"/>
    <row r="332" ht="31.5" customHeight="1"/>
    <row r="333" ht="31.5" customHeight="1"/>
    <row r="334" ht="31.5" customHeight="1"/>
    <row r="335" ht="31.5" customHeight="1"/>
    <row r="336" ht="31.5" customHeight="1"/>
    <row r="337" ht="31.5" customHeight="1"/>
    <row r="338" ht="31.5" customHeight="1"/>
    <row r="339" ht="31.5" customHeight="1"/>
    <row r="340" ht="31.5" customHeight="1"/>
    <row r="341" ht="31.5" customHeight="1"/>
    <row r="342" ht="31.5" customHeight="1"/>
    <row r="343" ht="31.5" customHeight="1"/>
    <row r="344" ht="31.5" customHeight="1"/>
    <row r="345" ht="31.5" customHeight="1"/>
    <row r="346" ht="31.5" customHeight="1"/>
    <row r="347" ht="31.5" customHeight="1"/>
    <row r="348" ht="31.5" customHeight="1"/>
    <row r="349" ht="31.5" customHeight="1"/>
    <row r="350" ht="31.5" customHeight="1"/>
    <row r="351" ht="31.5" customHeight="1"/>
    <row r="352" ht="31.5" customHeight="1"/>
    <row r="353" ht="31.5" customHeight="1"/>
    <row r="354" ht="31.5" customHeight="1"/>
    <row r="355" ht="31.5" customHeight="1"/>
    <row r="356" ht="31.5" customHeight="1"/>
    <row r="357" ht="31.5" customHeight="1"/>
    <row r="358" ht="31.5" customHeight="1"/>
    <row r="359" ht="31.5" customHeight="1"/>
    <row r="360" ht="31.5" customHeight="1"/>
    <row r="361" ht="31.5" customHeight="1"/>
    <row r="362" ht="31.5" customHeight="1"/>
    <row r="363" ht="31.5" customHeight="1"/>
    <row r="364" ht="31.5" customHeight="1"/>
    <row r="365" ht="31.5" customHeight="1"/>
    <row r="366" ht="31.5" customHeight="1"/>
    <row r="367" ht="31.5" customHeight="1"/>
    <row r="368" ht="31.5" customHeight="1"/>
    <row r="369" ht="31.5" customHeight="1"/>
    <row r="370" ht="31.5" customHeight="1"/>
    <row r="371" ht="31.5" customHeight="1"/>
    <row r="372" ht="31.5" customHeight="1"/>
    <row r="373" ht="31.5" customHeight="1"/>
    <row r="374" ht="31.5" customHeight="1"/>
    <row r="375" ht="31.5" customHeight="1"/>
    <row r="376" ht="31.5" customHeight="1"/>
    <row r="377" ht="31.5" customHeight="1"/>
    <row r="378" ht="31.5" customHeight="1"/>
    <row r="379" ht="31.5" customHeight="1"/>
    <row r="380" ht="31.5" customHeight="1"/>
    <row r="381" ht="31.5" customHeight="1"/>
    <row r="382" ht="31.5" customHeight="1"/>
    <row r="383" ht="31.5" customHeight="1"/>
    <row r="384" ht="31.5" customHeight="1"/>
    <row r="385" ht="31.5" customHeight="1"/>
    <row r="386" ht="31.5" customHeight="1"/>
    <row r="387" ht="31.5" customHeight="1"/>
    <row r="388" ht="31.5" customHeight="1"/>
    <row r="389" ht="31.5" customHeight="1"/>
    <row r="390" ht="31.5" customHeight="1"/>
    <row r="391" ht="31.5" customHeight="1"/>
    <row r="392" ht="31.5" customHeight="1"/>
    <row r="393" ht="31.5" customHeight="1"/>
    <row r="394" ht="31.5" customHeight="1"/>
    <row r="395" ht="31.5" customHeight="1"/>
    <row r="396" ht="31.5" customHeight="1"/>
    <row r="397" ht="31.5" customHeight="1"/>
    <row r="398" ht="31.5" customHeight="1"/>
    <row r="399" ht="31.5" customHeight="1"/>
    <row r="400" ht="31.5" customHeight="1"/>
    <row r="401" ht="31.5" customHeight="1"/>
    <row r="402" ht="31.5" customHeight="1"/>
    <row r="403" ht="31.5" customHeight="1"/>
    <row r="404" ht="31.5" customHeight="1"/>
    <row r="405" ht="31.5" customHeight="1"/>
    <row r="406" ht="31.5" customHeight="1"/>
    <row r="407" ht="31.5" customHeight="1"/>
    <row r="408" ht="31.5" customHeight="1"/>
    <row r="409" ht="31.5" customHeight="1"/>
    <row r="410" ht="31.5" customHeight="1"/>
    <row r="411" ht="31.5" customHeight="1"/>
    <row r="412" ht="31.5" customHeight="1"/>
    <row r="413" ht="31.5" customHeight="1"/>
    <row r="414" ht="31.5" customHeight="1"/>
    <row r="415" ht="31.5" customHeight="1"/>
    <row r="416" ht="31.5" customHeight="1"/>
    <row r="417" ht="31.5" customHeight="1"/>
    <row r="418" ht="31.5" customHeight="1"/>
    <row r="419" ht="31.5" customHeight="1"/>
    <row r="420" ht="31.5" customHeight="1"/>
    <row r="421" ht="31.5" customHeight="1"/>
    <row r="422" ht="31.5" customHeight="1"/>
    <row r="423" ht="31.5" customHeight="1"/>
    <row r="424" ht="31.5" customHeight="1"/>
    <row r="425" ht="31.5" customHeight="1"/>
    <row r="426" ht="31.5" customHeight="1"/>
    <row r="427" ht="31.5" customHeight="1"/>
    <row r="428" ht="31.5" customHeight="1"/>
    <row r="429" ht="31.5" customHeight="1"/>
    <row r="430" ht="31.5" customHeight="1"/>
    <row r="431" ht="31.5" customHeight="1"/>
    <row r="432" ht="31.5" customHeight="1"/>
    <row r="433" ht="31.5" customHeight="1"/>
    <row r="434" ht="31.5" customHeight="1"/>
    <row r="435" ht="31.5" customHeight="1"/>
    <row r="436" ht="31.5" customHeight="1"/>
    <row r="437" ht="31.5" customHeight="1"/>
    <row r="438" ht="31.5" customHeight="1"/>
    <row r="439" ht="31.5" customHeight="1"/>
    <row r="440" ht="31.5" customHeight="1"/>
    <row r="441" ht="31.5" customHeight="1"/>
    <row r="442" ht="31.5" customHeight="1"/>
    <row r="443" ht="31.5" customHeight="1"/>
    <row r="444" ht="31.5" customHeight="1"/>
    <row r="445" ht="31.5" customHeight="1"/>
    <row r="446" ht="31.5" customHeight="1"/>
    <row r="447" ht="31.5" customHeight="1"/>
    <row r="448" ht="31.5" customHeight="1"/>
    <row r="449" ht="31.5" customHeight="1"/>
    <row r="450" ht="31.5" customHeight="1"/>
    <row r="451" ht="31.5" customHeight="1"/>
    <row r="452" ht="31.5" customHeight="1"/>
    <row r="453" ht="31.5" customHeight="1"/>
    <row r="454" ht="31.5" customHeight="1"/>
    <row r="455" ht="31.5" customHeight="1"/>
    <row r="456" ht="31.5" customHeight="1"/>
    <row r="457" ht="31.5" customHeight="1"/>
    <row r="458" ht="31.5" customHeight="1"/>
    <row r="459" ht="31.5" customHeight="1"/>
    <row r="460" ht="31.5" customHeight="1"/>
    <row r="461" ht="31.5" customHeight="1"/>
    <row r="462" ht="31.5" customHeight="1"/>
    <row r="463" ht="31.5" customHeight="1"/>
    <row r="464" ht="31.5" customHeight="1"/>
    <row r="465" ht="31.5" customHeight="1"/>
    <row r="466" ht="31.5" customHeight="1"/>
    <row r="467" ht="31.5" customHeight="1"/>
    <row r="468" ht="31.5" customHeight="1"/>
    <row r="469" ht="31.5" customHeight="1"/>
    <row r="470" ht="31.5" customHeight="1"/>
    <row r="471" ht="31.5" customHeight="1"/>
    <row r="472" ht="31.5" customHeight="1"/>
    <row r="473" ht="31.5" customHeight="1"/>
    <row r="474" ht="31.5" customHeight="1"/>
    <row r="475" ht="31.5" customHeight="1"/>
    <row r="476" ht="31.5" customHeight="1"/>
    <row r="477" ht="31.5" customHeight="1"/>
    <row r="478" ht="31.5" customHeight="1"/>
    <row r="479" ht="31.5" customHeight="1"/>
    <row r="480" ht="31.5" customHeight="1"/>
    <row r="481" ht="31.5" customHeight="1"/>
    <row r="482" ht="31.5" customHeight="1"/>
    <row r="483" ht="31.5" customHeight="1"/>
    <row r="484" ht="31.5" customHeight="1"/>
    <row r="485" ht="31.5" customHeight="1"/>
    <row r="486" ht="31.5" customHeight="1"/>
    <row r="487" ht="31.5" customHeight="1"/>
    <row r="488" ht="31.5" customHeight="1"/>
    <row r="489" ht="31.5" customHeight="1"/>
    <row r="490" ht="31.5" customHeight="1"/>
    <row r="491" ht="31.5" customHeight="1"/>
    <row r="492" ht="31.5" customHeight="1"/>
    <row r="493" ht="31.5" customHeight="1"/>
    <row r="494" ht="31.5" customHeight="1"/>
    <row r="495" ht="31.5" customHeight="1"/>
    <row r="496" ht="31.5" customHeight="1"/>
    <row r="497" ht="31.5" customHeight="1"/>
    <row r="498" ht="31.5" customHeight="1"/>
    <row r="499" ht="31.5" customHeight="1"/>
    <row r="500" ht="31.5" customHeight="1"/>
    <row r="501" ht="31.5" customHeight="1"/>
    <row r="502" ht="31.5" customHeight="1"/>
    <row r="503" ht="31.5" customHeight="1"/>
    <row r="504" ht="31.5" customHeight="1"/>
    <row r="505" ht="31.5" customHeight="1"/>
    <row r="506" ht="31.5" customHeight="1"/>
    <row r="507" ht="31.5" customHeight="1"/>
    <row r="508" ht="31.5" customHeight="1"/>
    <row r="509" ht="31.5" customHeight="1"/>
    <row r="510" ht="31.5" customHeight="1"/>
    <row r="511" ht="31.5" customHeight="1"/>
    <row r="512" ht="31.5" customHeight="1"/>
    <row r="513" ht="31.5" customHeight="1"/>
    <row r="514" ht="31.5" customHeight="1"/>
    <row r="515" ht="31.5" customHeight="1"/>
    <row r="516" ht="31.5" customHeight="1"/>
    <row r="517" ht="31.5" customHeight="1"/>
    <row r="518" ht="31.5" customHeight="1"/>
    <row r="519" ht="31.5" customHeight="1"/>
    <row r="520" ht="31.5" customHeight="1"/>
    <row r="521" ht="31.5" customHeight="1"/>
    <row r="522" ht="31.5" customHeight="1"/>
    <row r="523" ht="31.5" customHeight="1"/>
    <row r="524" ht="31.5" customHeight="1"/>
    <row r="525" ht="31.5" customHeight="1"/>
    <row r="526" ht="31.5" customHeight="1"/>
    <row r="527" ht="31.5" customHeight="1"/>
    <row r="528" ht="31.5" customHeight="1"/>
    <row r="529" ht="31.5" customHeight="1"/>
    <row r="530" ht="31.5" customHeight="1"/>
    <row r="531" ht="31.5" customHeight="1"/>
    <row r="532" ht="31.5" customHeight="1"/>
    <row r="533" ht="31.5" customHeight="1"/>
    <row r="534" ht="31.5" customHeight="1"/>
    <row r="535" ht="31.5" customHeight="1"/>
    <row r="536" ht="31.5" customHeight="1"/>
    <row r="537" ht="31.5" customHeight="1"/>
    <row r="538" ht="31.5" customHeight="1"/>
    <row r="539" ht="31.5" customHeight="1"/>
    <row r="540" ht="31.5" customHeight="1"/>
    <row r="541" ht="31.5" customHeight="1"/>
    <row r="542" ht="31.5" customHeight="1"/>
    <row r="543" ht="31.5" customHeight="1"/>
    <row r="544" ht="31.5" customHeight="1"/>
    <row r="545" ht="31.5" customHeight="1"/>
    <row r="546" ht="31.5" customHeight="1"/>
    <row r="547" ht="31.5" customHeight="1"/>
    <row r="548" ht="31.5" customHeight="1"/>
    <row r="549" ht="31.5" customHeight="1"/>
    <row r="550" ht="31.5" customHeight="1"/>
    <row r="551" ht="31.5" customHeight="1"/>
    <row r="552" ht="31.5" customHeight="1"/>
    <row r="553" ht="31.5" customHeight="1"/>
    <row r="554" ht="31.5" customHeight="1"/>
    <row r="555" ht="31.5" customHeight="1"/>
    <row r="556" ht="31.5" customHeight="1"/>
    <row r="557" ht="31.5" customHeight="1"/>
    <row r="558" ht="31.5" customHeight="1"/>
    <row r="559" ht="31.5" customHeight="1"/>
    <row r="560" ht="31.5" customHeight="1"/>
    <row r="561" ht="31.5" customHeight="1"/>
    <row r="562" ht="31.5" customHeight="1"/>
    <row r="563" ht="31.5" customHeight="1"/>
    <row r="564" ht="31.5" customHeight="1"/>
    <row r="565" ht="31.5" customHeight="1"/>
    <row r="566" ht="31.5" customHeight="1"/>
    <row r="567" ht="31.5" customHeight="1"/>
    <row r="568" ht="31.5" customHeight="1"/>
    <row r="569" ht="31.5" customHeight="1"/>
    <row r="570" ht="31.5" customHeight="1"/>
    <row r="571" ht="31.5" customHeight="1"/>
    <row r="572" ht="31.5" customHeight="1"/>
    <row r="573" ht="31.5" customHeight="1"/>
    <row r="574" ht="31.5" customHeight="1"/>
    <row r="575" ht="31.5" customHeight="1"/>
    <row r="576" ht="31.5" customHeight="1"/>
    <row r="577" ht="31.5" customHeight="1"/>
    <row r="578" ht="31.5" customHeight="1"/>
    <row r="579" ht="31.5" customHeight="1"/>
    <row r="580" ht="31.5" customHeight="1"/>
    <row r="581" ht="31.5" customHeight="1"/>
    <row r="582" ht="31.5" customHeight="1"/>
    <row r="583" ht="31.5" customHeight="1"/>
    <row r="584" ht="31.5" customHeight="1"/>
    <row r="585" ht="31.5" customHeight="1"/>
    <row r="586" ht="31.5" customHeight="1"/>
    <row r="587" ht="31.5" customHeight="1"/>
    <row r="588" ht="31.5" customHeight="1"/>
    <row r="589" ht="31.5" customHeight="1"/>
    <row r="590" ht="31.5" customHeight="1"/>
    <row r="591" ht="31.5" customHeight="1"/>
    <row r="592" ht="31.5" customHeight="1"/>
    <row r="593" ht="31.5" customHeight="1"/>
    <row r="594" ht="31.5" customHeight="1"/>
    <row r="595" ht="31.5" customHeight="1"/>
    <row r="596" ht="31.5" customHeight="1"/>
    <row r="597" ht="31.5" customHeight="1"/>
    <row r="598" ht="31.5" customHeight="1"/>
    <row r="599" ht="31.5" customHeight="1"/>
    <row r="600" ht="31.5" customHeight="1"/>
    <row r="601" ht="31.5" customHeight="1"/>
    <row r="602" ht="31.5" customHeight="1"/>
    <row r="603" ht="31.5" customHeight="1"/>
    <row r="604" ht="31.5" customHeight="1"/>
    <row r="605" ht="31.5" customHeight="1"/>
    <row r="606" ht="31.5" customHeight="1"/>
    <row r="607" ht="31.5" customHeight="1"/>
    <row r="608" ht="31.5" customHeight="1"/>
    <row r="609" ht="31.5" customHeight="1"/>
    <row r="610" ht="31.5" customHeight="1"/>
    <row r="611" ht="31.5" customHeight="1"/>
    <row r="612" ht="31.5" customHeight="1"/>
    <row r="613" ht="31.5" customHeight="1"/>
    <row r="614" ht="31.5" customHeight="1"/>
    <row r="615" ht="31.5" customHeight="1"/>
    <row r="616" ht="31.5" customHeight="1"/>
    <row r="617" ht="31.5" customHeight="1"/>
    <row r="618" ht="31.5" customHeight="1"/>
    <row r="619" ht="31.5" customHeight="1"/>
    <row r="620" ht="31.5" customHeight="1"/>
    <row r="621" ht="31.5" customHeight="1"/>
    <row r="622" ht="31.5" customHeight="1"/>
    <row r="623" ht="31.5" customHeight="1"/>
    <row r="624" ht="31.5" customHeight="1"/>
    <row r="625" ht="31.5" customHeight="1"/>
    <row r="626" ht="31.5" customHeight="1"/>
    <row r="627" ht="31.5" customHeight="1"/>
    <row r="628" ht="31.5" customHeight="1"/>
    <row r="629" ht="31.5" customHeight="1"/>
    <row r="630" ht="31.5" customHeight="1"/>
    <row r="631" ht="31.5" customHeight="1"/>
    <row r="632" ht="31.5" customHeight="1"/>
    <row r="633" ht="31.5" customHeight="1"/>
    <row r="634" ht="31.5" customHeight="1"/>
    <row r="635" ht="31.5" customHeight="1"/>
    <row r="636" ht="31.5" customHeight="1"/>
    <row r="637" ht="31.5" customHeight="1"/>
    <row r="638" ht="31.5" customHeight="1"/>
    <row r="639" ht="31.5" customHeight="1"/>
    <row r="640" ht="31.5" customHeight="1"/>
    <row r="641" ht="31.5" customHeight="1"/>
    <row r="642" ht="31.5" customHeight="1"/>
    <row r="643" ht="31.5" customHeight="1"/>
    <row r="644" ht="31.5" customHeight="1"/>
    <row r="645" ht="31.5" customHeight="1"/>
    <row r="646" ht="31.5" customHeight="1"/>
    <row r="647" ht="31.5" customHeight="1"/>
    <row r="648" ht="31.5" customHeight="1"/>
    <row r="649" ht="31.5" customHeight="1"/>
    <row r="650" ht="31.5" customHeight="1"/>
    <row r="651" ht="31.5" customHeight="1"/>
    <row r="652" ht="31.5" customHeight="1"/>
    <row r="653" ht="31.5" customHeight="1"/>
    <row r="654" ht="31.5" customHeight="1"/>
    <row r="655" ht="31.5" customHeight="1"/>
    <row r="656" ht="31.5" customHeight="1"/>
    <row r="657" ht="31.5" customHeight="1"/>
    <row r="658" ht="31.5" customHeight="1"/>
    <row r="659" ht="31.5" customHeight="1"/>
    <row r="660" ht="31.5" customHeight="1"/>
    <row r="661" ht="31.5" customHeight="1"/>
    <row r="662" ht="31.5" customHeight="1"/>
    <row r="663" ht="31.5" customHeight="1"/>
    <row r="664" ht="31.5" customHeight="1"/>
    <row r="665" ht="31.5" customHeight="1"/>
    <row r="666" ht="31.5" customHeight="1"/>
    <row r="667" ht="31.5" customHeight="1"/>
    <row r="668" ht="31.5" customHeight="1"/>
    <row r="669" ht="31.5" customHeight="1"/>
    <row r="670" ht="31.5" customHeight="1"/>
    <row r="671" ht="31.5" customHeight="1"/>
    <row r="672" ht="31.5" customHeight="1"/>
    <row r="673" ht="31.5" customHeight="1"/>
    <row r="674" ht="31.5" customHeight="1"/>
    <row r="675" ht="31.5" customHeight="1"/>
    <row r="676" ht="31.5" customHeight="1"/>
    <row r="677" ht="31.5" customHeight="1"/>
    <row r="678" ht="31.5" customHeight="1"/>
    <row r="679" ht="31.5" customHeight="1"/>
    <row r="680" ht="31.5" customHeight="1"/>
    <row r="681" ht="31.5" customHeight="1"/>
    <row r="682" ht="31.5" customHeight="1"/>
    <row r="683" ht="31.5" customHeight="1"/>
    <row r="684" ht="31.5" customHeight="1"/>
    <row r="685" ht="31.5" customHeight="1"/>
    <row r="686" ht="31.5" customHeight="1"/>
    <row r="687" ht="31.5" customHeight="1"/>
    <row r="688" ht="31.5" customHeight="1"/>
    <row r="689" ht="31.5" customHeight="1"/>
    <row r="690" ht="31.5" customHeight="1"/>
    <row r="691" ht="31.5" customHeight="1"/>
    <row r="692" ht="31.5" customHeight="1"/>
    <row r="693" ht="31.5" customHeight="1"/>
    <row r="694" ht="31.5" customHeight="1"/>
    <row r="695" ht="31.5" customHeight="1"/>
    <row r="696" ht="31.5" customHeight="1"/>
    <row r="697" ht="31.5" customHeight="1"/>
    <row r="698" ht="31.5" customHeight="1"/>
    <row r="699" ht="31.5" customHeight="1"/>
    <row r="700" ht="31.5" customHeight="1"/>
    <row r="701" ht="31.5" customHeight="1"/>
    <row r="702" ht="31.5" customHeight="1"/>
    <row r="703" ht="31.5" customHeight="1"/>
    <row r="704" ht="31.5" customHeight="1"/>
    <row r="705" ht="31.5" customHeight="1"/>
    <row r="706" ht="31.5" customHeight="1"/>
    <row r="707" ht="31.5" customHeight="1"/>
    <row r="708" ht="31.5" customHeight="1"/>
    <row r="709" ht="31.5" customHeight="1"/>
    <row r="710" ht="31.5" customHeight="1"/>
    <row r="711" ht="31.5" customHeight="1"/>
    <row r="712" ht="31.5" customHeight="1"/>
    <row r="713" ht="31.5" customHeight="1"/>
    <row r="714" ht="31.5" customHeight="1"/>
    <row r="715" ht="31.5" customHeight="1"/>
    <row r="716" ht="31.5" customHeight="1"/>
    <row r="717" ht="31.5" customHeight="1"/>
    <row r="718" ht="31.5" customHeight="1"/>
    <row r="719" ht="31.5" customHeight="1"/>
    <row r="720" ht="31.5" customHeight="1"/>
    <row r="721" ht="31.5" customHeight="1"/>
    <row r="722" ht="31.5" customHeight="1"/>
    <row r="723" ht="31.5" customHeight="1"/>
    <row r="724" ht="31.5" customHeight="1"/>
    <row r="725" ht="31.5" customHeight="1"/>
    <row r="726" ht="31.5" customHeight="1"/>
    <row r="727" ht="31.5" customHeight="1"/>
    <row r="728" ht="31.5" customHeight="1"/>
    <row r="729" ht="31.5" customHeight="1"/>
    <row r="730" ht="31.5" customHeight="1"/>
    <row r="731" ht="31.5" customHeight="1"/>
    <row r="732" ht="31.5" customHeight="1"/>
    <row r="733" ht="31.5" customHeight="1"/>
    <row r="734" ht="31.5" customHeight="1"/>
    <row r="735" ht="31.5" customHeight="1"/>
    <row r="736" ht="31.5" customHeight="1"/>
    <row r="737" ht="31.5" customHeight="1"/>
    <row r="738" ht="31.5" customHeight="1"/>
    <row r="739" ht="31.5" customHeight="1"/>
    <row r="740" ht="31.5" customHeight="1"/>
    <row r="741" ht="31.5" customHeight="1"/>
    <row r="742" ht="31.5" customHeight="1"/>
    <row r="743" ht="31.5" customHeight="1"/>
    <row r="744" ht="31.5" customHeight="1"/>
    <row r="745" ht="31.5" customHeight="1"/>
    <row r="746" ht="31.5" customHeight="1"/>
    <row r="747" ht="31.5" customHeight="1"/>
    <row r="748" ht="31.5" customHeight="1"/>
    <row r="749" ht="31.5" customHeight="1"/>
    <row r="750" ht="31.5" customHeight="1"/>
    <row r="751" ht="31.5" customHeight="1"/>
    <row r="752" ht="31.5" customHeight="1"/>
    <row r="753" ht="31.5" customHeight="1"/>
    <row r="754" ht="31.5" customHeight="1"/>
    <row r="755" ht="31.5" customHeight="1"/>
    <row r="756" ht="31.5" customHeight="1"/>
    <row r="757" ht="31.5" customHeight="1"/>
    <row r="758" ht="31.5" customHeight="1"/>
    <row r="759" ht="31.5" customHeight="1"/>
    <row r="760" ht="31.5" customHeight="1"/>
    <row r="761" ht="31.5" customHeight="1"/>
    <row r="762" ht="31.5" customHeight="1"/>
    <row r="763" ht="31.5" customHeight="1"/>
    <row r="764" ht="31.5" customHeight="1"/>
    <row r="765" ht="31.5" customHeight="1"/>
    <row r="766" ht="31.5" customHeight="1"/>
    <row r="767" ht="31.5" customHeight="1"/>
    <row r="768" ht="31.5" customHeight="1"/>
    <row r="769" ht="31.5" customHeight="1"/>
    <row r="770" ht="31.5" customHeight="1"/>
    <row r="771" ht="31.5" customHeight="1"/>
    <row r="772" ht="31.5" customHeight="1"/>
    <row r="773" ht="31.5" customHeight="1"/>
    <row r="774" ht="31.5" customHeight="1"/>
    <row r="775" ht="31.5" customHeight="1"/>
    <row r="776" ht="31.5" customHeight="1"/>
    <row r="777" ht="31.5" customHeight="1"/>
    <row r="778" ht="31.5" customHeight="1"/>
    <row r="779" ht="31.5" customHeight="1"/>
    <row r="780" ht="31.5" customHeight="1"/>
    <row r="781" ht="31.5" customHeight="1"/>
    <row r="782" ht="31.5" customHeight="1"/>
    <row r="783" ht="31.5" customHeight="1"/>
    <row r="784" ht="31.5" customHeight="1"/>
    <row r="785" ht="31.5" customHeight="1"/>
    <row r="786" ht="31.5" customHeight="1"/>
    <row r="787" ht="31.5" customHeight="1"/>
    <row r="788" ht="31.5" customHeight="1"/>
    <row r="789" ht="31.5" customHeight="1"/>
    <row r="790" ht="31.5" customHeight="1"/>
    <row r="791" ht="31.5" customHeight="1"/>
    <row r="792" ht="31.5" customHeight="1"/>
    <row r="793" ht="31.5" customHeight="1"/>
    <row r="794" ht="31.5" customHeight="1"/>
    <row r="795" ht="31.5" customHeight="1"/>
    <row r="796" ht="31.5" customHeight="1"/>
    <row r="797" ht="31.5" customHeight="1"/>
    <row r="798" ht="31.5" customHeight="1"/>
    <row r="799" ht="31.5" customHeight="1"/>
    <row r="800" ht="31.5" customHeight="1"/>
    <row r="801" ht="31.5" customHeight="1"/>
    <row r="802" ht="31.5" customHeight="1"/>
    <row r="803" ht="31.5" customHeight="1"/>
    <row r="804" ht="31.5" customHeight="1"/>
    <row r="805" ht="31.5" customHeight="1"/>
    <row r="806" ht="31.5" customHeight="1"/>
    <row r="807" ht="31.5" customHeight="1"/>
    <row r="808" ht="31.5" customHeight="1"/>
    <row r="809" ht="31.5" customHeight="1"/>
    <row r="810" ht="31.5" customHeight="1"/>
    <row r="811" ht="31.5" customHeight="1"/>
    <row r="812" ht="31.5" customHeight="1"/>
    <row r="813" ht="31.5" customHeight="1"/>
    <row r="814" ht="31.5" customHeight="1"/>
    <row r="815" ht="31.5" customHeight="1"/>
    <row r="816" ht="31.5" customHeight="1"/>
    <row r="817" ht="31.5" customHeight="1"/>
    <row r="818" ht="31.5" customHeight="1"/>
    <row r="819" ht="31.5" customHeight="1"/>
    <row r="820" ht="31.5" customHeight="1"/>
    <row r="821" ht="31.5" customHeight="1"/>
    <row r="822" ht="31.5" customHeight="1"/>
    <row r="823" ht="31.5" customHeight="1"/>
    <row r="824" ht="31.5" customHeight="1"/>
    <row r="825" ht="31.5" customHeight="1"/>
    <row r="826" ht="31.5" customHeight="1"/>
    <row r="827" ht="31.5" customHeight="1"/>
    <row r="828" ht="31.5" customHeight="1"/>
    <row r="829" ht="31.5" customHeight="1"/>
    <row r="830" ht="31.5" customHeight="1"/>
    <row r="831" ht="31.5" customHeight="1"/>
    <row r="832" ht="31.5" customHeight="1"/>
    <row r="833" ht="31.5" customHeight="1"/>
    <row r="834" ht="31.5" customHeight="1"/>
    <row r="835" ht="31.5" customHeight="1"/>
    <row r="836" ht="31.5" customHeight="1"/>
    <row r="837" ht="31.5" customHeight="1"/>
    <row r="838" ht="31.5" customHeight="1"/>
    <row r="839" ht="31.5" customHeight="1"/>
    <row r="840" ht="31.5" customHeight="1"/>
    <row r="841" ht="31.5" customHeight="1"/>
    <row r="842" ht="31.5" customHeight="1"/>
    <row r="843" ht="31.5" customHeight="1"/>
    <row r="844" ht="31.5" customHeight="1"/>
    <row r="845" ht="31.5" customHeight="1"/>
    <row r="846" ht="31.5" customHeight="1"/>
    <row r="847" ht="31.5" customHeight="1"/>
    <row r="848" ht="31.5" customHeight="1"/>
    <row r="849" ht="31.5" customHeight="1"/>
    <row r="850" ht="31.5" customHeight="1"/>
    <row r="851" ht="31.5" customHeight="1"/>
    <row r="852" ht="31.5" customHeight="1"/>
    <row r="853" ht="31.5" customHeight="1"/>
    <row r="854" ht="31.5" customHeight="1"/>
    <row r="855" ht="31.5" customHeight="1"/>
    <row r="856" ht="31.5" customHeight="1"/>
    <row r="857" ht="31.5" customHeight="1"/>
    <row r="858" ht="31.5" customHeight="1"/>
    <row r="859" ht="31.5" customHeight="1"/>
    <row r="860" ht="31.5" customHeight="1"/>
    <row r="861" ht="31.5" customHeight="1"/>
    <row r="862" ht="31.5" customHeight="1"/>
    <row r="863" ht="31.5" customHeight="1"/>
    <row r="864" ht="31.5" customHeight="1"/>
    <row r="865" ht="31.5" customHeight="1"/>
    <row r="866" ht="31.5" customHeight="1"/>
    <row r="867" ht="31.5" customHeight="1"/>
    <row r="868" ht="31.5" customHeight="1"/>
    <row r="869" ht="31.5" customHeight="1"/>
    <row r="870" ht="31.5" customHeight="1"/>
    <row r="871" ht="31.5" customHeight="1"/>
    <row r="872" ht="31.5" customHeight="1"/>
    <row r="873" ht="31.5" customHeight="1"/>
    <row r="874" ht="31.5" customHeight="1"/>
    <row r="875" ht="31.5" customHeight="1"/>
    <row r="876" ht="31.5" customHeight="1"/>
    <row r="877" ht="31.5" customHeight="1"/>
    <row r="878" ht="31.5" customHeight="1"/>
    <row r="879" ht="31.5" customHeight="1"/>
    <row r="880" ht="31.5" customHeight="1"/>
    <row r="881" ht="31.5" customHeight="1"/>
    <row r="882" ht="31.5" customHeight="1"/>
    <row r="883" ht="31.5" customHeight="1"/>
    <row r="884" ht="31.5" customHeight="1"/>
    <row r="885" ht="31.5" customHeight="1"/>
    <row r="886" ht="31.5" customHeight="1"/>
    <row r="887" ht="31.5" customHeight="1"/>
    <row r="888" ht="31.5" customHeight="1"/>
    <row r="889" ht="31.5" customHeight="1"/>
    <row r="890" ht="31.5" customHeight="1"/>
    <row r="891" ht="31.5" customHeight="1"/>
    <row r="892" ht="31.5" customHeight="1"/>
    <row r="893" ht="31.5" customHeight="1"/>
    <row r="894" ht="31.5" customHeight="1"/>
    <row r="895" ht="31.5" customHeight="1"/>
    <row r="896" ht="31.5" customHeight="1"/>
    <row r="897" ht="31.5" customHeight="1"/>
    <row r="898" ht="31.5" customHeight="1"/>
    <row r="899" ht="31.5" customHeight="1"/>
    <row r="900" ht="31.5" customHeight="1"/>
    <row r="901" ht="31.5" customHeight="1"/>
    <row r="902" ht="31.5" customHeight="1"/>
    <row r="903" ht="31.5" customHeight="1"/>
    <row r="904" ht="31.5" customHeight="1"/>
    <row r="905" ht="31.5" customHeight="1"/>
    <row r="906" ht="31.5" customHeight="1"/>
    <row r="907" ht="31.5" customHeight="1"/>
    <row r="908" ht="31.5" customHeight="1"/>
    <row r="909" ht="31.5" customHeight="1"/>
    <row r="910" ht="31.5" customHeight="1"/>
    <row r="911" ht="31.5" customHeight="1"/>
    <row r="912" ht="31.5" customHeight="1"/>
    <row r="913" ht="31.5" customHeight="1"/>
    <row r="914" ht="31.5" customHeight="1"/>
    <row r="915" ht="31.5" customHeight="1"/>
    <row r="916" ht="31.5" customHeight="1"/>
    <row r="917" ht="31.5" customHeight="1"/>
    <row r="918" ht="31.5" customHeight="1"/>
    <row r="919" ht="31.5" customHeight="1"/>
    <row r="920" ht="31.5" customHeight="1"/>
    <row r="921" ht="31.5" customHeight="1"/>
    <row r="922" ht="31.5" customHeight="1"/>
    <row r="923" ht="31.5" customHeight="1"/>
    <row r="924" ht="31.5" customHeight="1"/>
    <row r="925" ht="31.5" customHeight="1"/>
    <row r="926" ht="31.5" customHeight="1"/>
    <row r="927" ht="31.5" customHeight="1"/>
    <row r="928" ht="31.5" customHeight="1"/>
    <row r="929" ht="31.5" customHeight="1"/>
    <row r="930" ht="31.5" customHeight="1"/>
    <row r="931" ht="31.5" customHeight="1"/>
    <row r="932" ht="31.5" customHeight="1"/>
    <row r="933" ht="31.5" customHeight="1"/>
    <row r="934" ht="31.5" customHeight="1"/>
    <row r="935" ht="31.5" customHeight="1"/>
    <row r="936" ht="31.5" customHeight="1"/>
    <row r="937" ht="31.5" customHeight="1"/>
    <row r="938" ht="31.5" customHeight="1"/>
    <row r="939" ht="31.5" customHeight="1"/>
    <row r="940" ht="31.5" customHeight="1"/>
    <row r="941" ht="31.5" customHeight="1"/>
    <row r="942" ht="31.5" customHeight="1"/>
    <row r="943" ht="31.5" customHeight="1"/>
    <row r="944" ht="31.5" customHeight="1"/>
    <row r="945" ht="31.5" customHeight="1"/>
    <row r="946" ht="31.5" customHeight="1"/>
    <row r="947" ht="31.5" customHeight="1"/>
    <row r="948" ht="31.5" customHeight="1"/>
    <row r="949" ht="31.5" customHeight="1"/>
    <row r="950" ht="31.5" customHeight="1"/>
    <row r="951" ht="31.5" customHeight="1"/>
    <row r="952" ht="31.5" customHeight="1"/>
    <row r="953" ht="31.5" customHeight="1"/>
    <row r="954" ht="31.5" customHeight="1"/>
    <row r="955" ht="31.5" customHeight="1"/>
    <row r="956" ht="31.5" customHeight="1"/>
    <row r="957" ht="31.5" customHeight="1"/>
    <row r="958" ht="31.5" customHeight="1"/>
    <row r="959" ht="31.5" customHeight="1"/>
    <row r="960" ht="31.5" customHeight="1"/>
    <row r="961" ht="31.5" customHeight="1"/>
    <row r="962" ht="31.5" customHeight="1"/>
    <row r="963" ht="31.5" customHeight="1"/>
    <row r="964" ht="31.5" customHeight="1"/>
    <row r="965" ht="31.5" customHeight="1"/>
    <row r="966" ht="31.5" customHeight="1"/>
    <row r="967" ht="31.5" customHeight="1"/>
    <row r="968" ht="31.5" customHeight="1"/>
    <row r="969" ht="31.5" customHeight="1"/>
    <row r="970" ht="31.5" customHeight="1"/>
    <row r="971" ht="31.5" customHeight="1"/>
    <row r="972" ht="31.5" customHeight="1"/>
    <row r="973" ht="31.5" customHeight="1"/>
    <row r="974" ht="31.5" customHeight="1"/>
    <row r="975" ht="31.5" customHeight="1"/>
    <row r="976" ht="31.5" customHeight="1"/>
    <row r="977" ht="31.5" customHeight="1"/>
    <row r="978" ht="31.5" customHeight="1"/>
    <row r="979" ht="31.5" customHeight="1"/>
    <row r="980" ht="31.5" customHeight="1"/>
    <row r="981" ht="31.5" customHeight="1"/>
    <row r="982" ht="31.5" customHeight="1"/>
    <row r="983" ht="31.5" customHeight="1"/>
    <row r="984" ht="31.5" customHeight="1"/>
    <row r="985" ht="31.5" customHeight="1"/>
    <row r="986" ht="31.5" customHeight="1"/>
    <row r="987" ht="31.5" customHeight="1"/>
    <row r="988" ht="31.5" customHeight="1"/>
    <row r="989" ht="31.5" customHeight="1"/>
    <row r="990" ht="31.5" customHeight="1"/>
    <row r="991" ht="31.5" customHeight="1"/>
    <row r="992" ht="31.5" customHeight="1"/>
    <row r="993" ht="31.5" customHeight="1"/>
    <row r="994" ht="31.5" customHeight="1"/>
    <row r="995" ht="31.5" customHeight="1"/>
    <row r="996" ht="31.5" customHeight="1"/>
    <row r="997" ht="31.5" customHeight="1"/>
    <row r="998" ht="31.5" customHeight="1"/>
    <row r="999" ht="31.5" customHeight="1"/>
    <row r="1000" ht="31.5" customHeight="1"/>
  </sheetData>
  <mergeCells count="151">
    <mergeCell ref="C27:F27"/>
    <mergeCell ref="C30:F30"/>
    <mergeCell ref="C31:F31"/>
    <mergeCell ref="C32:F32"/>
    <mergeCell ref="C33:F33"/>
    <mergeCell ref="C34:F34"/>
    <mergeCell ref="C35:F35"/>
    <mergeCell ref="C36:F36"/>
    <mergeCell ref="C37:F37"/>
    <mergeCell ref="C38:F38"/>
    <mergeCell ref="C40:F40"/>
    <mergeCell ref="C41:F41"/>
    <mergeCell ref="C42:F42"/>
    <mergeCell ref="C43:F43"/>
    <mergeCell ref="C44:F44"/>
    <mergeCell ref="C45:F45"/>
    <mergeCell ref="C46:F46"/>
    <mergeCell ref="C47:F47"/>
    <mergeCell ref="C48:F48"/>
    <mergeCell ref="C50:F50"/>
    <mergeCell ref="C51:F51"/>
    <mergeCell ref="C52:F52"/>
    <mergeCell ref="C53:F53"/>
    <mergeCell ref="C54:F54"/>
    <mergeCell ref="C55:F55"/>
    <mergeCell ref="C56:F56"/>
    <mergeCell ref="C57:F57"/>
    <mergeCell ref="C58:F58"/>
    <mergeCell ref="C61:F61"/>
    <mergeCell ref="C62:F62"/>
    <mergeCell ref="C63:F63"/>
    <mergeCell ref="C64:F64"/>
    <mergeCell ref="C65:F65"/>
    <mergeCell ref="C66:F66"/>
    <mergeCell ref="C67:F67"/>
    <mergeCell ref="C68:F68"/>
    <mergeCell ref="C69:F69"/>
    <mergeCell ref="C72:F72"/>
    <mergeCell ref="C73:F73"/>
    <mergeCell ref="C74:F74"/>
    <mergeCell ref="C75:F75"/>
    <mergeCell ref="C76:F76"/>
    <mergeCell ref="C86:F86"/>
    <mergeCell ref="C87:F87"/>
    <mergeCell ref="C88:F88"/>
    <mergeCell ref="C89:F89"/>
    <mergeCell ref="C90:F90"/>
    <mergeCell ref="C91:F91"/>
    <mergeCell ref="C77:F77"/>
    <mergeCell ref="C78:F78"/>
    <mergeCell ref="C79:F79"/>
    <mergeCell ref="C80:F80"/>
    <mergeCell ref="C83:F83"/>
    <mergeCell ref="C84:F84"/>
    <mergeCell ref="C85:F85"/>
    <mergeCell ref="G37:J37"/>
    <mergeCell ref="G38:J38"/>
    <mergeCell ref="G40:J40"/>
    <mergeCell ref="G41:J41"/>
    <mergeCell ref="G42:J42"/>
    <mergeCell ref="G43:J43"/>
    <mergeCell ref="G44:J44"/>
    <mergeCell ref="G45:J45"/>
    <mergeCell ref="G46:J46"/>
    <mergeCell ref="G47:J47"/>
    <mergeCell ref="G48:J48"/>
    <mergeCell ref="G50:J50"/>
    <mergeCell ref="G51:J51"/>
    <mergeCell ref="G52:J52"/>
    <mergeCell ref="G53:J53"/>
    <mergeCell ref="G54:J54"/>
    <mergeCell ref="G55:J55"/>
    <mergeCell ref="G56:J56"/>
    <mergeCell ref="G57:J57"/>
    <mergeCell ref="G58:J58"/>
    <mergeCell ref="G61:J61"/>
    <mergeCell ref="G62:J62"/>
    <mergeCell ref="G63:J63"/>
    <mergeCell ref="G64:J64"/>
    <mergeCell ref="G65:J65"/>
    <mergeCell ref="G66:J66"/>
    <mergeCell ref="G67:J67"/>
    <mergeCell ref="G68:J68"/>
    <mergeCell ref="G69:J69"/>
    <mergeCell ref="G72:J72"/>
    <mergeCell ref="G73:J73"/>
    <mergeCell ref="G74:J74"/>
    <mergeCell ref="G75:J75"/>
    <mergeCell ref="G76:J76"/>
    <mergeCell ref="G77:J77"/>
    <mergeCell ref="G87:J87"/>
    <mergeCell ref="G88:J88"/>
    <mergeCell ref="G89:J89"/>
    <mergeCell ref="G90:J90"/>
    <mergeCell ref="G91:J91"/>
    <mergeCell ref="G78:J78"/>
    <mergeCell ref="G79:J79"/>
    <mergeCell ref="G80:J80"/>
    <mergeCell ref="G83:J83"/>
    <mergeCell ref="G84:J84"/>
    <mergeCell ref="G85:J85"/>
    <mergeCell ref="G86:J86"/>
    <mergeCell ref="A1:K1"/>
    <mergeCell ref="B2:K2"/>
    <mergeCell ref="B3:K3"/>
    <mergeCell ref="B4:K4"/>
    <mergeCell ref="B5:K5"/>
    <mergeCell ref="B6:K6"/>
    <mergeCell ref="A7:K7"/>
    <mergeCell ref="C9:F9"/>
    <mergeCell ref="G9:J9"/>
    <mergeCell ref="C10:F10"/>
    <mergeCell ref="G10:J10"/>
    <mergeCell ref="C11:F11"/>
    <mergeCell ref="G11:J11"/>
    <mergeCell ref="G12:J12"/>
    <mergeCell ref="C12:F12"/>
    <mergeCell ref="C13:F13"/>
    <mergeCell ref="C14:F14"/>
    <mergeCell ref="C15:F15"/>
    <mergeCell ref="C16:F16"/>
    <mergeCell ref="C17:F17"/>
    <mergeCell ref="C19:F19"/>
    <mergeCell ref="G13:J13"/>
    <mergeCell ref="G14:J14"/>
    <mergeCell ref="G15:J15"/>
    <mergeCell ref="G16:J16"/>
    <mergeCell ref="G17:J17"/>
    <mergeCell ref="G19:J19"/>
    <mergeCell ref="G20:J20"/>
    <mergeCell ref="C20:F20"/>
    <mergeCell ref="C21:F21"/>
    <mergeCell ref="C22:F22"/>
    <mergeCell ref="C23:F23"/>
    <mergeCell ref="C24:F24"/>
    <mergeCell ref="C25:F25"/>
    <mergeCell ref="C26:F26"/>
    <mergeCell ref="G21:J21"/>
    <mergeCell ref="G22:J22"/>
    <mergeCell ref="G23:J23"/>
    <mergeCell ref="G24:J24"/>
    <mergeCell ref="G25:J25"/>
    <mergeCell ref="G26:J26"/>
    <mergeCell ref="G27:J27"/>
    <mergeCell ref="G30:J30"/>
    <mergeCell ref="G31:J31"/>
    <mergeCell ref="G32:J32"/>
    <mergeCell ref="G33:J33"/>
    <mergeCell ref="G34:J34"/>
    <mergeCell ref="G35:J35"/>
    <mergeCell ref="G36:J3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20.25"/>
    <col customWidth="1" min="3" max="3" width="11.38"/>
    <col customWidth="1" min="4" max="5" width="3.88"/>
    <col customWidth="1" min="6" max="6" width="11.0"/>
    <col customWidth="1" min="7" max="9" width="3.88"/>
    <col customWidth="1" min="10" max="10" width="5.25"/>
    <col customWidth="1" min="11" max="12" width="3.88"/>
    <col customWidth="1" min="13" max="13" width="0.38"/>
    <col customWidth="1" min="14" max="16" width="3.88"/>
    <col customWidth="1" min="17" max="17" width="1.13"/>
    <col customWidth="1" min="18" max="18" width="3.88"/>
    <col customWidth="1" min="19" max="19" width="3.38"/>
    <col customWidth="1" min="20" max="20" width="3.13"/>
    <col customWidth="1" min="21" max="22" width="3.88"/>
    <col customWidth="1" min="23" max="23" width="1.5"/>
    <col customWidth="1" min="24" max="24" width="17.0"/>
    <col customWidth="1" min="25" max="25" width="38.25"/>
  </cols>
  <sheetData>
    <row r="1" ht="31.5" customHeight="1">
      <c r="A1" s="1" t="s">
        <v>323</v>
      </c>
    </row>
    <row r="2" ht="31.5" customHeight="1">
      <c r="A2" s="1" t="s">
        <v>324</v>
      </c>
    </row>
    <row r="3" ht="31.5" customHeight="1">
      <c r="A3" s="156" t="s">
        <v>1</v>
      </c>
      <c r="B3" s="157" t="s">
        <v>246</v>
      </c>
      <c r="C3" s="38"/>
      <c r="D3" s="38"/>
      <c r="E3" s="158"/>
      <c r="F3" s="157" t="s">
        <v>248</v>
      </c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158"/>
      <c r="X3" s="157" t="s">
        <v>4</v>
      </c>
      <c r="Y3" s="39"/>
    </row>
    <row r="4" ht="31.5" customHeight="1">
      <c r="A4" s="159">
        <v>1.0</v>
      </c>
      <c r="B4" s="160" t="s">
        <v>247</v>
      </c>
      <c r="C4" s="44"/>
      <c r="D4" s="44"/>
      <c r="E4" s="45"/>
      <c r="F4" s="161" t="s">
        <v>7</v>
      </c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5"/>
      <c r="X4" s="162" t="s">
        <v>325</v>
      </c>
      <c r="Y4" s="45"/>
    </row>
    <row r="5" ht="31.5" customHeight="1">
      <c r="A5" s="159">
        <f t="shared" ref="A5:A28" si="1">A4+1</f>
        <v>2</v>
      </c>
      <c r="B5" s="163" t="s">
        <v>261</v>
      </c>
      <c r="C5" s="44"/>
      <c r="D5" s="44"/>
      <c r="E5" s="45"/>
      <c r="F5" s="164" t="s">
        <v>326</v>
      </c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5"/>
      <c r="X5" s="162" t="s">
        <v>327</v>
      </c>
      <c r="Y5" s="45"/>
    </row>
    <row r="6" ht="31.5" customHeight="1">
      <c r="A6" s="159">
        <f t="shared" si="1"/>
        <v>3</v>
      </c>
      <c r="B6" s="163" t="s">
        <v>264</v>
      </c>
      <c r="C6" s="44"/>
      <c r="D6" s="44"/>
      <c r="E6" s="45"/>
      <c r="F6" s="164" t="s">
        <v>328</v>
      </c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5"/>
      <c r="X6" s="162" t="s">
        <v>329</v>
      </c>
      <c r="Y6" s="45"/>
    </row>
    <row r="7" ht="31.5" customHeight="1">
      <c r="A7" s="159">
        <f t="shared" si="1"/>
        <v>4</v>
      </c>
      <c r="B7" s="163" t="s">
        <v>266</v>
      </c>
      <c r="C7" s="44"/>
      <c r="D7" s="44"/>
      <c r="E7" s="45"/>
      <c r="F7" s="164" t="s">
        <v>330</v>
      </c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5"/>
      <c r="X7" s="162" t="s">
        <v>331</v>
      </c>
      <c r="Y7" s="45"/>
    </row>
    <row r="8" ht="31.5" customHeight="1">
      <c r="A8" s="159">
        <f t="shared" si="1"/>
        <v>5</v>
      </c>
      <c r="B8" s="163" t="s">
        <v>332</v>
      </c>
      <c r="C8" s="44"/>
      <c r="D8" s="44"/>
      <c r="E8" s="45"/>
      <c r="F8" s="164" t="s">
        <v>333</v>
      </c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5"/>
      <c r="X8" s="162" t="s">
        <v>334</v>
      </c>
      <c r="Y8" s="45"/>
    </row>
    <row r="9" ht="31.5" customHeight="1">
      <c r="A9" s="159">
        <f t="shared" si="1"/>
        <v>6</v>
      </c>
      <c r="B9" s="163" t="s">
        <v>271</v>
      </c>
      <c r="C9" s="44"/>
      <c r="D9" s="44"/>
      <c r="E9" s="45"/>
      <c r="F9" s="164" t="s">
        <v>335</v>
      </c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5"/>
      <c r="X9" s="162" t="s">
        <v>336</v>
      </c>
      <c r="Y9" s="45"/>
    </row>
    <row r="10" ht="31.5" customHeight="1">
      <c r="A10" s="159">
        <f t="shared" si="1"/>
        <v>7</v>
      </c>
      <c r="B10" s="163" t="s">
        <v>337</v>
      </c>
      <c r="C10" s="44"/>
      <c r="D10" s="44"/>
      <c r="E10" s="45"/>
      <c r="F10" s="164" t="s">
        <v>338</v>
      </c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5"/>
      <c r="X10" s="162" t="s">
        <v>339</v>
      </c>
      <c r="Y10" s="45"/>
    </row>
    <row r="11" ht="31.5" customHeight="1">
      <c r="A11" s="159">
        <f t="shared" si="1"/>
        <v>8</v>
      </c>
      <c r="B11" s="165"/>
      <c r="C11" s="44"/>
      <c r="D11" s="44"/>
      <c r="E11" s="45"/>
      <c r="F11" s="166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5"/>
      <c r="X11" s="167"/>
      <c r="Y11" s="45"/>
    </row>
    <row r="12" ht="31.5" customHeight="1">
      <c r="A12" s="159">
        <f t="shared" si="1"/>
        <v>9</v>
      </c>
      <c r="B12" s="165"/>
      <c r="C12" s="44"/>
      <c r="D12" s="44"/>
      <c r="E12" s="45"/>
      <c r="F12" s="166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5"/>
      <c r="X12" s="167"/>
      <c r="Y12" s="45"/>
    </row>
    <row r="13" ht="31.5" customHeight="1">
      <c r="A13" s="159">
        <f t="shared" si="1"/>
        <v>10</v>
      </c>
      <c r="B13" s="165"/>
      <c r="C13" s="44"/>
      <c r="D13" s="44"/>
      <c r="E13" s="45"/>
      <c r="F13" s="166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5"/>
      <c r="X13" s="167"/>
      <c r="Y13" s="45"/>
    </row>
    <row r="14" ht="31.5" customHeight="1">
      <c r="A14" s="159">
        <f t="shared" si="1"/>
        <v>11</v>
      </c>
      <c r="B14" s="165"/>
      <c r="C14" s="44"/>
      <c r="D14" s="44"/>
      <c r="E14" s="45"/>
      <c r="F14" s="166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5"/>
      <c r="X14" s="167"/>
      <c r="Y14" s="45"/>
    </row>
    <row r="15" ht="31.5" customHeight="1">
      <c r="A15" s="159">
        <f t="shared" si="1"/>
        <v>12</v>
      </c>
      <c r="B15" s="165"/>
      <c r="C15" s="44"/>
      <c r="D15" s="44"/>
      <c r="E15" s="45"/>
      <c r="F15" s="166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5"/>
      <c r="X15" s="167"/>
      <c r="Y15" s="45"/>
    </row>
    <row r="16" ht="31.5" customHeight="1">
      <c r="A16" s="159">
        <f t="shared" si="1"/>
        <v>13</v>
      </c>
      <c r="B16" s="168"/>
      <c r="C16" s="44"/>
      <c r="D16" s="44"/>
      <c r="E16" s="45"/>
      <c r="F16" s="166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5"/>
      <c r="X16" s="167"/>
      <c r="Y16" s="45"/>
    </row>
    <row r="17" ht="31.5" customHeight="1">
      <c r="A17" s="159">
        <f t="shared" si="1"/>
        <v>14</v>
      </c>
      <c r="B17" s="168"/>
      <c r="C17" s="44"/>
      <c r="D17" s="44"/>
      <c r="E17" s="45"/>
      <c r="F17" s="166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5"/>
      <c r="X17" s="168"/>
      <c r="Y17" s="45"/>
    </row>
    <row r="18" ht="31.5" customHeight="1">
      <c r="A18" s="159">
        <f t="shared" si="1"/>
        <v>15</v>
      </c>
      <c r="B18" s="168"/>
      <c r="C18" s="44"/>
      <c r="D18" s="44"/>
      <c r="E18" s="45"/>
      <c r="F18" s="166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5"/>
      <c r="X18" s="168"/>
      <c r="Y18" s="45"/>
    </row>
    <row r="19" ht="31.5" customHeight="1">
      <c r="A19" s="159">
        <f t="shared" si="1"/>
        <v>16</v>
      </c>
      <c r="B19" s="168"/>
      <c r="C19" s="44"/>
      <c r="D19" s="44"/>
      <c r="E19" s="45"/>
      <c r="F19" s="166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5"/>
      <c r="X19" s="168"/>
      <c r="Y19" s="45"/>
    </row>
    <row r="20" ht="31.5" customHeight="1">
      <c r="A20" s="159">
        <f t="shared" si="1"/>
        <v>17</v>
      </c>
      <c r="B20" s="168"/>
      <c r="C20" s="44"/>
      <c r="D20" s="44"/>
      <c r="E20" s="45"/>
      <c r="F20" s="166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5"/>
      <c r="X20" s="168"/>
      <c r="Y20" s="45"/>
    </row>
    <row r="21" ht="31.5" customHeight="1">
      <c r="A21" s="159">
        <f t="shared" si="1"/>
        <v>18</v>
      </c>
      <c r="B21" s="168"/>
      <c r="C21" s="44"/>
      <c r="D21" s="44"/>
      <c r="E21" s="45"/>
      <c r="F21" s="166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5"/>
      <c r="X21" s="168"/>
      <c r="Y21" s="45"/>
    </row>
    <row r="22" ht="31.5" customHeight="1">
      <c r="A22" s="159">
        <f t="shared" si="1"/>
        <v>19</v>
      </c>
      <c r="B22" s="168"/>
      <c r="C22" s="44"/>
      <c r="D22" s="44"/>
      <c r="E22" s="45"/>
      <c r="F22" s="166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5"/>
      <c r="X22" s="168"/>
      <c r="Y22" s="45"/>
    </row>
    <row r="23" ht="31.5" customHeight="1">
      <c r="A23" s="159">
        <f t="shared" si="1"/>
        <v>20</v>
      </c>
      <c r="B23" s="168"/>
      <c r="C23" s="44"/>
      <c r="D23" s="44"/>
      <c r="E23" s="45"/>
      <c r="F23" s="166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5"/>
      <c r="X23" s="168"/>
      <c r="Y23" s="45"/>
    </row>
    <row r="24" ht="31.5" customHeight="1">
      <c r="A24" s="159">
        <f t="shared" si="1"/>
        <v>21</v>
      </c>
      <c r="B24" s="168"/>
      <c r="C24" s="44"/>
      <c r="D24" s="44"/>
      <c r="E24" s="45"/>
      <c r="F24" s="166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5"/>
      <c r="X24" s="168"/>
      <c r="Y24" s="45"/>
    </row>
    <row r="25" ht="31.5" customHeight="1">
      <c r="A25" s="159">
        <f t="shared" si="1"/>
        <v>22</v>
      </c>
      <c r="B25" s="168"/>
      <c r="C25" s="44"/>
      <c r="D25" s="44"/>
      <c r="E25" s="45"/>
      <c r="F25" s="166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5"/>
      <c r="X25" s="168"/>
      <c r="Y25" s="45"/>
    </row>
    <row r="26" ht="31.5" customHeight="1">
      <c r="A26" s="159">
        <f t="shared" si="1"/>
        <v>23</v>
      </c>
      <c r="B26" s="168"/>
      <c r="C26" s="44"/>
      <c r="D26" s="44"/>
      <c r="E26" s="45"/>
      <c r="F26" s="166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5"/>
      <c r="X26" s="168"/>
      <c r="Y26" s="45"/>
    </row>
    <row r="27" ht="31.5" customHeight="1">
      <c r="A27" s="159">
        <f t="shared" si="1"/>
        <v>24</v>
      </c>
      <c r="B27" s="168"/>
      <c r="C27" s="44"/>
      <c r="D27" s="44"/>
      <c r="E27" s="45"/>
      <c r="F27" s="166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5"/>
      <c r="X27" s="168"/>
      <c r="Y27" s="45"/>
    </row>
    <row r="28" ht="31.5" customHeight="1">
      <c r="A28" s="159">
        <f t="shared" si="1"/>
        <v>25</v>
      </c>
      <c r="B28" s="168"/>
      <c r="C28" s="44"/>
      <c r="D28" s="44"/>
      <c r="E28" s="45"/>
      <c r="F28" s="166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5"/>
      <c r="X28" s="168"/>
      <c r="Y28" s="45"/>
    </row>
    <row r="29" ht="31.5" customHeight="1">
      <c r="A29" s="1" t="s">
        <v>340</v>
      </c>
    </row>
    <row r="30" ht="31.5" customHeight="1"/>
    <row r="31" ht="31.5" customHeight="1">
      <c r="A31" s="169">
        <f>A4</f>
        <v>1</v>
      </c>
      <c r="B31" s="170" t="s">
        <v>246</v>
      </c>
      <c r="C31" s="171" t="str">
        <f>B4</f>
        <v>Usuario</v>
      </c>
      <c r="D31" s="44"/>
      <c r="E31" s="44"/>
      <c r="F31" s="45"/>
      <c r="G31" s="170" t="s">
        <v>51</v>
      </c>
      <c r="H31" s="44"/>
      <c r="I31" s="44"/>
      <c r="J31" s="45"/>
      <c r="K31" s="172" t="str">
        <f>F4</f>
        <v>Almacena la información básica de acceso y contacto de todas las personas en la red.</v>
      </c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5"/>
      <c r="X31" s="173" t="s">
        <v>341</v>
      </c>
      <c r="Y31" s="174" t="s">
        <v>342</v>
      </c>
    </row>
    <row r="32" ht="31.5" customHeight="1">
      <c r="A32" s="86" t="s">
        <v>1</v>
      </c>
      <c r="B32" s="86" t="s">
        <v>343</v>
      </c>
      <c r="C32" s="81" t="s">
        <v>344</v>
      </c>
      <c r="D32" s="44"/>
      <c r="E32" s="44"/>
      <c r="F32" s="45"/>
      <c r="G32" s="81" t="s">
        <v>345</v>
      </c>
      <c r="H32" s="44"/>
      <c r="I32" s="44"/>
      <c r="J32" s="45"/>
      <c r="K32" s="81" t="s">
        <v>346</v>
      </c>
      <c r="L32" s="44"/>
      <c r="M32" s="44"/>
      <c r="N32" s="45"/>
      <c r="O32" s="81" t="s">
        <v>347</v>
      </c>
      <c r="P32" s="44"/>
      <c r="Q32" s="45"/>
      <c r="R32" s="81" t="s">
        <v>263</v>
      </c>
      <c r="S32" s="45"/>
      <c r="T32" s="81" t="s">
        <v>268</v>
      </c>
      <c r="U32" s="45"/>
      <c r="V32" s="81" t="s">
        <v>254</v>
      </c>
      <c r="W32" s="45"/>
      <c r="X32" s="81" t="s">
        <v>348</v>
      </c>
      <c r="Y32" s="45"/>
    </row>
    <row r="33" ht="31.5" customHeight="1">
      <c r="A33" s="139">
        <v>1.0</v>
      </c>
      <c r="B33" s="175" t="s">
        <v>101</v>
      </c>
      <c r="C33" s="176" t="s">
        <v>349</v>
      </c>
      <c r="D33" s="44"/>
      <c r="E33" s="44"/>
      <c r="F33" s="45"/>
      <c r="G33" s="176" t="s">
        <v>350</v>
      </c>
      <c r="H33" s="44"/>
      <c r="I33" s="44"/>
      <c r="J33" s="45"/>
      <c r="K33" s="177"/>
      <c r="L33" s="44"/>
      <c r="M33" s="44"/>
      <c r="N33" s="45"/>
      <c r="O33" s="176" t="s">
        <v>351</v>
      </c>
      <c r="P33" s="44"/>
      <c r="Q33" s="45"/>
      <c r="R33" s="178" t="s">
        <v>352</v>
      </c>
      <c r="S33" s="45"/>
      <c r="T33" s="177"/>
      <c r="U33" s="45"/>
      <c r="V33" s="177"/>
      <c r="W33" s="45"/>
      <c r="X33" s="176" t="s">
        <v>353</v>
      </c>
      <c r="Y33" s="45"/>
    </row>
    <row r="34" ht="31.5" customHeight="1">
      <c r="A34" s="139">
        <v>2.0</v>
      </c>
      <c r="B34" s="175" t="s">
        <v>107</v>
      </c>
      <c r="C34" s="176" t="s">
        <v>354</v>
      </c>
      <c r="D34" s="44"/>
      <c r="E34" s="44"/>
      <c r="F34" s="45"/>
      <c r="G34" s="176" t="s">
        <v>355</v>
      </c>
      <c r="H34" s="44"/>
      <c r="I34" s="44"/>
      <c r="J34" s="45"/>
      <c r="K34" s="176">
        <v>100.0</v>
      </c>
      <c r="L34" s="44"/>
      <c r="M34" s="44"/>
      <c r="N34" s="45"/>
      <c r="O34" s="176" t="s">
        <v>351</v>
      </c>
      <c r="P34" s="44"/>
      <c r="Q34" s="45"/>
      <c r="R34" s="177"/>
      <c r="S34" s="45"/>
      <c r="T34" s="177"/>
      <c r="U34" s="45"/>
      <c r="V34" s="177"/>
      <c r="W34" s="45"/>
      <c r="X34" s="176" t="s">
        <v>356</v>
      </c>
      <c r="Y34" s="45"/>
    </row>
    <row r="35" ht="31.5" customHeight="1">
      <c r="A35" s="139">
        <v>3.0</v>
      </c>
      <c r="B35" s="175" t="s">
        <v>113</v>
      </c>
      <c r="C35" s="176" t="s">
        <v>357</v>
      </c>
      <c r="D35" s="44"/>
      <c r="E35" s="44"/>
      <c r="F35" s="45"/>
      <c r="G35" s="176" t="s">
        <v>355</v>
      </c>
      <c r="H35" s="44"/>
      <c r="I35" s="44"/>
      <c r="J35" s="45"/>
      <c r="K35" s="176">
        <v>150.0</v>
      </c>
      <c r="L35" s="44"/>
      <c r="M35" s="44"/>
      <c r="N35" s="45"/>
      <c r="O35" s="176" t="s">
        <v>351</v>
      </c>
      <c r="P35" s="44"/>
      <c r="Q35" s="45"/>
      <c r="R35" s="177"/>
      <c r="S35" s="45"/>
      <c r="T35" s="177"/>
      <c r="U35" s="45"/>
      <c r="V35" s="176" t="s">
        <v>352</v>
      </c>
      <c r="W35" s="45"/>
      <c r="X35" s="176" t="s">
        <v>358</v>
      </c>
      <c r="Y35" s="45"/>
    </row>
    <row r="36" ht="31.5" customHeight="1">
      <c r="A36" s="139">
        <v>4.0</v>
      </c>
      <c r="B36" s="175" t="s">
        <v>119</v>
      </c>
      <c r="C36" s="176" t="s">
        <v>359</v>
      </c>
      <c r="D36" s="44"/>
      <c r="E36" s="44"/>
      <c r="F36" s="45"/>
      <c r="G36" s="176" t="s">
        <v>355</v>
      </c>
      <c r="H36" s="44"/>
      <c r="I36" s="44"/>
      <c r="J36" s="45"/>
      <c r="K36" s="176">
        <v>20.0</v>
      </c>
      <c r="L36" s="44"/>
      <c r="M36" s="44"/>
      <c r="N36" s="45"/>
      <c r="O36" s="47" t="s">
        <v>360</v>
      </c>
      <c r="P36" s="179"/>
      <c r="Q36" s="180"/>
      <c r="R36" s="177"/>
      <c r="S36" s="45"/>
      <c r="T36" s="177"/>
      <c r="U36" s="45"/>
      <c r="V36" s="177"/>
      <c r="W36" s="45"/>
      <c r="X36" s="176" t="s">
        <v>361</v>
      </c>
      <c r="Y36" s="45"/>
    </row>
    <row r="37" ht="31.5" customHeight="1">
      <c r="A37" s="139">
        <v>5.0</v>
      </c>
      <c r="B37" s="181"/>
      <c r="C37" s="177"/>
      <c r="D37" s="44"/>
      <c r="E37" s="44"/>
      <c r="F37" s="45"/>
      <c r="G37" s="177"/>
      <c r="H37" s="44"/>
      <c r="I37" s="44"/>
      <c r="J37" s="45"/>
      <c r="K37" s="177"/>
      <c r="L37" s="44"/>
      <c r="M37" s="44"/>
      <c r="N37" s="45"/>
      <c r="O37" s="177"/>
      <c r="P37" s="44"/>
      <c r="Q37" s="45"/>
      <c r="R37" s="177"/>
      <c r="S37" s="45"/>
      <c r="T37" s="177"/>
      <c r="U37" s="45"/>
      <c r="V37" s="177"/>
      <c r="W37" s="45"/>
      <c r="X37" s="177"/>
      <c r="Y37" s="45"/>
    </row>
    <row r="38" ht="31.5" customHeight="1">
      <c r="A38" s="98"/>
      <c r="B38" s="181"/>
      <c r="C38" s="177"/>
      <c r="D38" s="44"/>
      <c r="E38" s="44"/>
      <c r="F38" s="45"/>
      <c r="G38" s="177"/>
      <c r="H38" s="44"/>
      <c r="I38" s="44"/>
      <c r="J38" s="45"/>
      <c r="K38" s="177"/>
      <c r="L38" s="44"/>
      <c r="M38" s="44"/>
      <c r="N38" s="45"/>
      <c r="O38" s="177"/>
      <c r="P38" s="44"/>
      <c r="Q38" s="45"/>
      <c r="R38" s="177"/>
      <c r="S38" s="45"/>
      <c r="T38" s="177"/>
      <c r="U38" s="45"/>
      <c r="V38" s="177"/>
      <c r="W38" s="45"/>
      <c r="X38" s="177"/>
      <c r="Y38" s="45"/>
    </row>
    <row r="39" ht="31.5" customHeight="1">
      <c r="A39" s="139" t="s">
        <v>260</v>
      </c>
      <c r="B39" s="181"/>
      <c r="C39" s="177"/>
      <c r="D39" s="44"/>
      <c r="E39" s="44"/>
      <c r="F39" s="45"/>
      <c r="G39" s="177"/>
      <c r="H39" s="44"/>
      <c r="I39" s="44"/>
      <c r="J39" s="45"/>
      <c r="K39" s="177"/>
      <c r="L39" s="44"/>
      <c r="M39" s="44"/>
      <c r="N39" s="45"/>
      <c r="O39" s="177"/>
      <c r="P39" s="44"/>
      <c r="Q39" s="45"/>
      <c r="R39" s="177"/>
      <c r="S39" s="45"/>
      <c r="T39" s="177"/>
      <c r="U39" s="45"/>
      <c r="V39" s="177"/>
      <c r="W39" s="45"/>
      <c r="X39" s="177"/>
      <c r="Y39" s="45"/>
    </row>
    <row r="40" ht="31.5" customHeight="1"/>
    <row r="41" ht="31.5" customHeight="1">
      <c r="A41" s="169">
        <f>A5</f>
        <v>2</v>
      </c>
      <c r="B41" s="81" t="s">
        <v>246</v>
      </c>
      <c r="C41" s="145" t="s">
        <v>124</v>
      </c>
      <c r="D41" s="44"/>
      <c r="E41" s="44"/>
      <c r="F41" s="45"/>
      <c r="G41" s="81" t="s">
        <v>248</v>
      </c>
      <c r="H41" s="44"/>
      <c r="I41" s="44"/>
      <c r="J41" s="45"/>
      <c r="K41" s="138" t="s">
        <v>326</v>
      </c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5"/>
      <c r="X41" s="86" t="s">
        <v>362</v>
      </c>
      <c r="Y41" s="182" t="s">
        <v>342</v>
      </c>
    </row>
    <row r="42" ht="31.5" customHeight="1">
      <c r="A42" s="86" t="s">
        <v>1</v>
      </c>
      <c r="B42" s="86" t="s">
        <v>343</v>
      </c>
      <c r="C42" s="81" t="s">
        <v>344</v>
      </c>
      <c r="D42" s="44"/>
      <c r="E42" s="44"/>
      <c r="F42" s="45"/>
      <c r="G42" s="81" t="s">
        <v>345</v>
      </c>
      <c r="H42" s="44"/>
      <c r="I42" s="44"/>
      <c r="J42" s="45"/>
      <c r="K42" s="81" t="s">
        <v>346</v>
      </c>
      <c r="L42" s="44"/>
      <c r="M42" s="44"/>
      <c r="N42" s="45"/>
      <c r="O42" s="81" t="s">
        <v>347</v>
      </c>
      <c r="P42" s="44"/>
      <c r="Q42" s="45"/>
      <c r="R42" s="81" t="s">
        <v>263</v>
      </c>
      <c r="S42" s="45"/>
      <c r="T42" s="81" t="s">
        <v>268</v>
      </c>
      <c r="U42" s="45"/>
      <c r="V42" s="81" t="s">
        <v>254</v>
      </c>
      <c r="W42" s="45"/>
      <c r="X42" s="81" t="s">
        <v>348</v>
      </c>
      <c r="Y42" s="45"/>
    </row>
    <row r="43" ht="31.5" customHeight="1">
      <c r="A43" s="139">
        <v>1.0</v>
      </c>
      <c r="B43" s="175" t="s">
        <v>122</v>
      </c>
      <c r="C43" s="176" t="s">
        <v>363</v>
      </c>
      <c r="D43" s="44"/>
      <c r="E43" s="44"/>
      <c r="F43" s="45"/>
      <c r="G43" s="176" t="s">
        <v>350</v>
      </c>
      <c r="H43" s="44"/>
      <c r="I43" s="44"/>
      <c r="J43" s="45"/>
      <c r="K43" s="177"/>
      <c r="L43" s="44"/>
      <c r="M43" s="44"/>
      <c r="N43" s="45"/>
      <c r="O43" s="176" t="s">
        <v>351</v>
      </c>
      <c r="P43" s="44"/>
      <c r="Q43" s="45"/>
      <c r="R43" s="176" t="s">
        <v>352</v>
      </c>
      <c r="S43" s="45"/>
      <c r="T43" s="177"/>
      <c r="U43" s="45"/>
      <c r="V43" s="177"/>
      <c r="W43" s="45"/>
      <c r="X43" s="176" t="s">
        <v>364</v>
      </c>
      <c r="Y43" s="45"/>
    </row>
    <row r="44" ht="31.5" customHeight="1">
      <c r="A44" s="139">
        <v>2.0</v>
      </c>
      <c r="B44" s="175" t="s">
        <v>101</v>
      </c>
      <c r="C44" s="176" t="s">
        <v>365</v>
      </c>
      <c r="D44" s="44"/>
      <c r="E44" s="44"/>
      <c r="F44" s="45"/>
      <c r="G44" s="176" t="s">
        <v>350</v>
      </c>
      <c r="H44" s="44"/>
      <c r="I44" s="44"/>
      <c r="J44" s="45"/>
      <c r="K44" s="177"/>
      <c r="L44" s="44"/>
      <c r="M44" s="44"/>
      <c r="N44" s="45"/>
      <c r="O44" s="176" t="s">
        <v>351</v>
      </c>
      <c r="P44" s="44"/>
      <c r="Q44" s="45"/>
      <c r="R44" s="177"/>
      <c r="S44" s="45"/>
      <c r="T44" s="176" t="s">
        <v>352</v>
      </c>
      <c r="U44" s="45"/>
      <c r="V44" s="177"/>
      <c r="W44" s="45"/>
      <c r="X44" s="176" t="s">
        <v>366</v>
      </c>
      <c r="Y44" s="45"/>
    </row>
    <row r="45" ht="31.5" customHeight="1">
      <c r="A45" s="139">
        <v>3.0</v>
      </c>
      <c r="B45" s="175" t="s">
        <v>131</v>
      </c>
      <c r="C45" s="176" t="s">
        <v>367</v>
      </c>
      <c r="D45" s="44"/>
      <c r="E45" s="44"/>
      <c r="F45" s="45"/>
      <c r="G45" s="176" t="s">
        <v>355</v>
      </c>
      <c r="H45" s="44"/>
      <c r="I45" s="44"/>
      <c r="J45" s="45"/>
      <c r="K45" s="176">
        <v>100.0</v>
      </c>
      <c r="L45" s="44"/>
      <c r="M45" s="44"/>
      <c r="N45" s="45"/>
      <c r="O45" s="176" t="s">
        <v>351</v>
      </c>
      <c r="P45" s="44"/>
      <c r="Q45" s="45"/>
      <c r="R45" s="177"/>
      <c r="S45" s="45"/>
      <c r="T45" s="177"/>
      <c r="U45" s="45"/>
      <c r="V45" s="177"/>
      <c r="W45" s="45"/>
      <c r="X45" s="176" t="s">
        <v>368</v>
      </c>
      <c r="Y45" s="45"/>
    </row>
    <row r="46" ht="31.5" customHeight="1">
      <c r="A46" s="139">
        <v>4.0</v>
      </c>
      <c r="B46" s="175" t="s">
        <v>137</v>
      </c>
      <c r="C46" s="176" t="s">
        <v>369</v>
      </c>
      <c r="D46" s="44"/>
      <c r="E46" s="44"/>
      <c r="F46" s="45"/>
      <c r="G46" s="176" t="s">
        <v>355</v>
      </c>
      <c r="H46" s="44"/>
      <c r="I46" s="44"/>
      <c r="J46" s="45"/>
      <c r="K46" s="176">
        <v>100.0</v>
      </c>
      <c r="L46" s="44"/>
      <c r="M46" s="44"/>
      <c r="N46" s="45"/>
      <c r="O46" s="176" t="s">
        <v>351</v>
      </c>
      <c r="P46" s="44"/>
      <c r="Q46" s="45"/>
      <c r="R46" s="177"/>
      <c r="S46" s="45"/>
      <c r="T46" s="177"/>
      <c r="U46" s="45"/>
      <c r="V46" s="177"/>
      <c r="W46" s="45"/>
      <c r="X46" s="176" t="s">
        <v>370</v>
      </c>
      <c r="Y46" s="45"/>
    </row>
    <row r="47" ht="31.5" customHeight="1">
      <c r="A47" s="139">
        <v>5.0</v>
      </c>
      <c r="B47" s="181"/>
      <c r="C47" s="177"/>
      <c r="D47" s="44"/>
      <c r="E47" s="44"/>
      <c r="F47" s="45"/>
      <c r="G47" s="177"/>
      <c r="H47" s="44"/>
      <c r="I47" s="44"/>
      <c r="J47" s="45"/>
      <c r="K47" s="177"/>
      <c r="L47" s="44"/>
      <c r="M47" s="44"/>
      <c r="N47" s="45"/>
      <c r="O47" s="177"/>
      <c r="P47" s="44"/>
      <c r="Q47" s="45"/>
      <c r="R47" s="177"/>
      <c r="S47" s="45"/>
      <c r="T47" s="177"/>
      <c r="U47" s="45"/>
      <c r="V47" s="177"/>
      <c r="W47" s="45"/>
      <c r="X47" s="177"/>
      <c r="Y47" s="45"/>
    </row>
    <row r="48" ht="31.5" customHeight="1">
      <c r="A48" s="98"/>
      <c r="B48" s="181"/>
      <c r="C48" s="177"/>
      <c r="D48" s="44"/>
      <c r="E48" s="44"/>
      <c r="F48" s="45"/>
      <c r="G48" s="177"/>
      <c r="H48" s="44"/>
      <c r="I48" s="44"/>
      <c r="J48" s="45"/>
      <c r="K48" s="177"/>
      <c r="L48" s="44"/>
      <c r="M48" s="44"/>
      <c r="N48" s="45"/>
      <c r="O48" s="177"/>
      <c r="P48" s="44"/>
      <c r="Q48" s="45"/>
      <c r="R48" s="177"/>
      <c r="S48" s="45"/>
      <c r="T48" s="177"/>
      <c r="U48" s="45"/>
      <c r="V48" s="177"/>
      <c r="W48" s="45"/>
      <c r="X48" s="177"/>
      <c r="Y48" s="45"/>
    </row>
    <row r="49" ht="31.5" customHeight="1">
      <c r="A49" s="139" t="s">
        <v>260</v>
      </c>
      <c r="B49" s="181"/>
      <c r="C49" s="177"/>
      <c r="D49" s="44"/>
      <c r="E49" s="44"/>
      <c r="F49" s="45"/>
      <c r="G49" s="177"/>
      <c r="H49" s="44"/>
      <c r="I49" s="44"/>
      <c r="J49" s="45"/>
      <c r="K49" s="177"/>
      <c r="L49" s="44"/>
      <c r="M49" s="44"/>
      <c r="N49" s="45"/>
      <c r="O49" s="177"/>
      <c r="P49" s="44"/>
      <c r="Q49" s="45"/>
      <c r="R49" s="177"/>
      <c r="S49" s="45"/>
      <c r="T49" s="177"/>
      <c r="U49" s="45"/>
      <c r="V49" s="177"/>
      <c r="W49" s="45"/>
      <c r="X49" s="177"/>
      <c r="Y49" s="45"/>
    </row>
    <row r="50" ht="31.5" customHeight="1"/>
    <row r="51" ht="31.5" customHeight="1">
      <c r="A51" s="183">
        <v>3.0</v>
      </c>
      <c r="B51" s="81" t="s">
        <v>246</v>
      </c>
      <c r="C51" s="145" t="s">
        <v>264</v>
      </c>
      <c r="D51" s="44"/>
      <c r="E51" s="44"/>
      <c r="F51" s="45"/>
      <c r="G51" s="81" t="s">
        <v>248</v>
      </c>
      <c r="H51" s="44"/>
      <c r="I51" s="44"/>
      <c r="J51" s="45"/>
      <c r="K51" s="138" t="s">
        <v>328</v>
      </c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5"/>
      <c r="X51" s="86" t="s">
        <v>362</v>
      </c>
      <c r="Y51" s="182" t="s">
        <v>342</v>
      </c>
    </row>
    <row r="52" ht="31.5" customHeight="1">
      <c r="A52" s="86" t="s">
        <v>1</v>
      </c>
      <c r="B52" s="86" t="s">
        <v>343</v>
      </c>
      <c r="C52" s="81" t="s">
        <v>344</v>
      </c>
      <c r="D52" s="44"/>
      <c r="E52" s="44"/>
      <c r="F52" s="45"/>
      <c r="G52" s="81" t="s">
        <v>345</v>
      </c>
      <c r="H52" s="44"/>
      <c r="I52" s="44"/>
      <c r="J52" s="45"/>
      <c r="K52" s="81" t="s">
        <v>346</v>
      </c>
      <c r="L52" s="44"/>
      <c r="M52" s="44"/>
      <c r="N52" s="45"/>
      <c r="O52" s="81" t="s">
        <v>347</v>
      </c>
      <c r="P52" s="44"/>
      <c r="Q52" s="45"/>
      <c r="R52" s="81" t="s">
        <v>263</v>
      </c>
      <c r="S52" s="45"/>
      <c r="T52" s="81" t="s">
        <v>268</v>
      </c>
      <c r="U52" s="45"/>
      <c r="V52" s="81" t="s">
        <v>254</v>
      </c>
      <c r="W52" s="45"/>
      <c r="X52" s="81" t="s">
        <v>348</v>
      </c>
      <c r="Y52" s="45"/>
    </row>
    <row r="53" ht="31.5" customHeight="1">
      <c r="A53" s="139">
        <v>1.0</v>
      </c>
      <c r="B53" s="175" t="s">
        <v>143</v>
      </c>
      <c r="C53" s="47" t="s">
        <v>371</v>
      </c>
      <c r="D53" s="179"/>
      <c r="E53" s="179"/>
      <c r="F53" s="180"/>
      <c r="G53" s="176" t="s">
        <v>350</v>
      </c>
      <c r="H53" s="44"/>
      <c r="I53" s="44"/>
      <c r="J53" s="45"/>
      <c r="K53" s="177"/>
      <c r="L53" s="44"/>
      <c r="M53" s="44"/>
      <c r="N53" s="45"/>
      <c r="O53" s="176" t="s">
        <v>351</v>
      </c>
      <c r="P53" s="44"/>
      <c r="Q53" s="45"/>
      <c r="R53" s="176" t="s">
        <v>352</v>
      </c>
      <c r="S53" s="45"/>
      <c r="T53" s="177"/>
      <c r="U53" s="45"/>
      <c r="V53" s="177"/>
      <c r="W53" s="45"/>
      <c r="X53" s="47" t="s">
        <v>372</v>
      </c>
      <c r="Y53" s="180"/>
    </row>
    <row r="54" ht="31.5" customHeight="1">
      <c r="A54" s="139">
        <v>2.0</v>
      </c>
      <c r="B54" s="175" t="s">
        <v>149</v>
      </c>
      <c r="C54" s="176" t="s">
        <v>373</v>
      </c>
      <c r="D54" s="44"/>
      <c r="E54" s="44"/>
      <c r="F54" s="45"/>
      <c r="G54" s="176" t="s">
        <v>355</v>
      </c>
      <c r="H54" s="44"/>
      <c r="I54" s="44"/>
      <c r="J54" s="45"/>
      <c r="K54" s="176">
        <v>100.0</v>
      </c>
      <c r="L54" s="44"/>
      <c r="M54" s="44"/>
      <c r="N54" s="45"/>
      <c r="O54" s="176" t="s">
        <v>351</v>
      </c>
      <c r="P54" s="44"/>
      <c r="Q54" s="45"/>
      <c r="R54" s="177"/>
      <c r="S54" s="45"/>
      <c r="T54" s="177"/>
      <c r="U54" s="45"/>
      <c r="V54" s="176" t="s">
        <v>352</v>
      </c>
      <c r="W54" s="45"/>
      <c r="X54" s="176" t="s">
        <v>374</v>
      </c>
      <c r="Y54" s="45"/>
    </row>
    <row r="55" ht="31.5" customHeight="1">
      <c r="A55" s="139">
        <v>3.0</v>
      </c>
      <c r="B55" s="175" t="s">
        <v>155</v>
      </c>
      <c r="C55" s="176" t="s">
        <v>375</v>
      </c>
      <c r="D55" s="44"/>
      <c r="E55" s="44"/>
      <c r="F55" s="45"/>
      <c r="G55" s="176" t="s">
        <v>376</v>
      </c>
      <c r="H55" s="44"/>
      <c r="I55" s="44"/>
      <c r="J55" s="45"/>
      <c r="K55" s="176">
        <v>10.2</v>
      </c>
      <c r="L55" s="44"/>
      <c r="M55" s="44"/>
      <c r="N55" s="45"/>
      <c r="O55" s="176" t="s">
        <v>351</v>
      </c>
      <c r="P55" s="44"/>
      <c r="Q55" s="45"/>
      <c r="R55" s="177"/>
      <c r="S55" s="45"/>
      <c r="T55" s="177"/>
      <c r="U55" s="45"/>
      <c r="V55" s="177"/>
      <c r="W55" s="45"/>
      <c r="X55" s="176" t="s">
        <v>377</v>
      </c>
      <c r="Y55" s="45"/>
    </row>
    <row r="56" ht="31.5" customHeight="1">
      <c r="A56" s="139">
        <v>4.0</v>
      </c>
      <c r="B56" s="175" t="s">
        <v>122</v>
      </c>
      <c r="C56" s="176" t="s">
        <v>378</v>
      </c>
      <c r="D56" s="44"/>
      <c r="E56" s="44"/>
      <c r="F56" s="45"/>
      <c r="G56" s="176" t="s">
        <v>350</v>
      </c>
      <c r="H56" s="44"/>
      <c r="I56" s="44"/>
      <c r="J56" s="45"/>
      <c r="K56" s="177"/>
      <c r="L56" s="44"/>
      <c r="M56" s="44"/>
      <c r="N56" s="45"/>
      <c r="O56" s="176" t="s">
        <v>351</v>
      </c>
      <c r="P56" s="44"/>
      <c r="Q56" s="45"/>
      <c r="R56" s="177"/>
      <c r="S56" s="45"/>
      <c r="T56" s="176" t="s">
        <v>352</v>
      </c>
      <c r="U56" s="45"/>
      <c r="V56" s="177"/>
      <c r="W56" s="45"/>
      <c r="X56" s="176" t="s">
        <v>379</v>
      </c>
      <c r="Y56" s="45"/>
    </row>
    <row r="57" ht="31.5" customHeight="1">
      <c r="A57" s="139">
        <v>5.0</v>
      </c>
      <c r="B57" s="181"/>
      <c r="C57" s="177"/>
      <c r="D57" s="44"/>
      <c r="E57" s="44"/>
      <c r="F57" s="45"/>
      <c r="G57" s="177"/>
      <c r="H57" s="44"/>
      <c r="I57" s="44"/>
      <c r="J57" s="45"/>
      <c r="K57" s="177"/>
      <c r="L57" s="44"/>
      <c r="M57" s="44"/>
      <c r="N57" s="45"/>
      <c r="O57" s="177"/>
      <c r="P57" s="44"/>
      <c r="Q57" s="45"/>
      <c r="R57" s="177"/>
      <c r="S57" s="45"/>
      <c r="T57" s="177"/>
      <c r="U57" s="45"/>
      <c r="V57" s="177"/>
      <c r="W57" s="45"/>
      <c r="X57" s="177"/>
      <c r="Y57" s="45"/>
    </row>
    <row r="58" ht="31.5" customHeight="1">
      <c r="A58" s="98"/>
      <c r="B58" s="181"/>
      <c r="C58" s="177"/>
      <c r="D58" s="44"/>
      <c r="E58" s="44"/>
      <c r="F58" s="45"/>
      <c r="G58" s="177"/>
      <c r="H58" s="44"/>
      <c r="I58" s="44"/>
      <c r="J58" s="45"/>
      <c r="K58" s="177"/>
      <c r="L58" s="44"/>
      <c r="M58" s="44"/>
      <c r="N58" s="45"/>
      <c r="O58" s="177"/>
      <c r="P58" s="44"/>
      <c r="Q58" s="45"/>
      <c r="R58" s="177"/>
      <c r="S58" s="45"/>
      <c r="T58" s="177"/>
      <c r="U58" s="45"/>
      <c r="V58" s="177"/>
      <c r="W58" s="45"/>
      <c r="X58" s="177"/>
      <c r="Y58" s="45"/>
    </row>
    <row r="59" ht="31.5" customHeight="1">
      <c r="A59" s="139" t="s">
        <v>260</v>
      </c>
      <c r="B59" s="181"/>
      <c r="C59" s="177"/>
      <c r="D59" s="44"/>
      <c r="E59" s="44"/>
      <c r="F59" s="45"/>
      <c r="G59" s="177"/>
      <c r="H59" s="44"/>
      <c r="I59" s="44"/>
      <c r="J59" s="45"/>
      <c r="K59" s="177"/>
      <c r="L59" s="44"/>
      <c r="M59" s="44"/>
      <c r="N59" s="45"/>
      <c r="O59" s="177"/>
      <c r="P59" s="44"/>
      <c r="Q59" s="45"/>
      <c r="R59" s="177"/>
      <c r="S59" s="45"/>
      <c r="T59" s="177"/>
      <c r="U59" s="45"/>
      <c r="V59" s="177"/>
      <c r="W59" s="45"/>
      <c r="X59" s="177"/>
      <c r="Y59" s="45"/>
    </row>
    <row r="60" ht="31.5" customHeight="1"/>
    <row r="61" ht="31.5" customHeight="1"/>
    <row r="62" ht="31.5" customHeight="1">
      <c r="A62" s="183">
        <v>4.0</v>
      </c>
      <c r="B62" s="81" t="s">
        <v>246</v>
      </c>
      <c r="C62" s="145" t="s">
        <v>16</v>
      </c>
      <c r="D62" s="44"/>
      <c r="E62" s="44"/>
      <c r="F62" s="45"/>
      <c r="G62" s="81" t="s">
        <v>248</v>
      </c>
      <c r="H62" s="44"/>
      <c r="I62" s="44"/>
      <c r="J62" s="45"/>
      <c r="K62" s="138" t="s">
        <v>330</v>
      </c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5"/>
      <c r="X62" s="86" t="s">
        <v>362</v>
      </c>
      <c r="Y62" s="182" t="s">
        <v>342</v>
      </c>
    </row>
    <row r="63" ht="31.5" customHeight="1">
      <c r="A63" s="86" t="s">
        <v>1</v>
      </c>
      <c r="B63" s="86" t="s">
        <v>343</v>
      </c>
      <c r="C63" s="81" t="s">
        <v>344</v>
      </c>
      <c r="D63" s="44"/>
      <c r="E63" s="44"/>
      <c r="F63" s="45"/>
      <c r="G63" s="81" t="s">
        <v>345</v>
      </c>
      <c r="H63" s="44"/>
      <c r="I63" s="44"/>
      <c r="J63" s="45"/>
      <c r="K63" s="81" t="s">
        <v>346</v>
      </c>
      <c r="L63" s="44"/>
      <c r="M63" s="44"/>
      <c r="N63" s="45"/>
      <c r="O63" s="81" t="s">
        <v>347</v>
      </c>
      <c r="P63" s="44"/>
      <c r="Q63" s="45"/>
      <c r="R63" s="81" t="s">
        <v>263</v>
      </c>
      <c r="S63" s="45"/>
      <c r="T63" s="81" t="s">
        <v>268</v>
      </c>
      <c r="U63" s="45"/>
      <c r="V63" s="81" t="s">
        <v>254</v>
      </c>
      <c r="W63" s="45"/>
      <c r="X63" s="81" t="s">
        <v>348</v>
      </c>
      <c r="Y63" s="45"/>
    </row>
    <row r="64" ht="31.5" customHeight="1">
      <c r="A64" s="139">
        <v>1.0</v>
      </c>
      <c r="B64" s="175" t="s">
        <v>160</v>
      </c>
      <c r="C64" s="176" t="s">
        <v>380</v>
      </c>
      <c r="D64" s="44"/>
      <c r="E64" s="44"/>
      <c r="F64" s="45"/>
      <c r="G64" s="176" t="s">
        <v>350</v>
      </c>
      <c r="H64" s="44"/>
      <c r="I64" s="44"/>
      <c r="J64" s="45"/>
      <c r="K64" s="176"/>
      <c r="L64" s="44"/>
      <c r="M64" s="44"/>
      <c r="N64" s="45"/>
      <c r="O64" s="176" t="s">
        <v>351</v>
      </c>
      <c r="P64" s="44"/>
      <c r="Q64" s="45"/>
      <c r="R64" s="176" t="s">
        <v>352</v>
      </c>
      <c r="S64" s="45"/>
      <c r="T64" s="177"/>
      <c r="U64" s="45"/>
      <c r="V64" s="177"/>
      <c r="W64" s="45"/>
      <c r="X64" s="176" t="s">
        <v>381</v>
      </c>
      <c r="Y64" s="45"/>
    </row>
    <row r="65" ht="31.5" customHeight="1">
      <c r="A65" s="139">
        <v>2.0</v>
      </c>
      <c r="B65" s="175" t="s">
        <v>166</v>
      </c>
      <c r="C65" s="176" t="s">
        <v>382</v>
      </c>
      <c r="D65" s="44"/>
      <c r="E65" s="44"/>
      <c r="F65" s="45"/>
      <c r="G65" s="176" t="s">
        <v>355</v>
      </c>
      <c r="H65" s="44"/>
      <c r="I65" s="44"/>
      <c r="J65" s="45"/>
      <c r="K65" s="47">
        <v>100.0</v>
      </c>
      <c r="L65" s="179"/>
      <c r="M65" s="179"/>
      <c r="N65" s="180"/>
      <c r="O65" s="176" t="s">
        <v>351</v>
      </c>
      <c r="P65" s="44"/>
      <c r="Q65" s="45"/>
      <c r="R65" s="177"/>
      <c r="S65" s="45"/>
      <c r="T65" s="177"/>
      <c r="U65" s="45"/>
      <c r="V65" s="177"/>
      <c r="W65" s="45"/>
      <c r="X65" s="176" t="s">
        <v>383</v>
      </c>
      <c r="Y65" s="45"/>
    </row>
    <row r="66" ht="31.5" customHeight="1">
      <c r="A66" s="139">
        <v>3.0</v>
      </c>
      <c r="B66" s="175" t="s">
        <v>122</v>
      </c>
      <c r="C66" s="176" t="s">
        <v>384</v>
      </c>
      <c r="D66" s="44"/>
      <c r="E66" s="44"/>
      <c r="F66" s="45"/>
      <c r="G66" s="176" t="s">
        <v>350</v>
      </c>
      <c r="H66" s="44"/>
      <c r="I66" s="44"/>
      <c r="J66" s="45"/>
      <c r="K66" s="176"/>
      <c r="L66" s="44"/>
      <c r="M66" s="44"/>
      <c r="N66" s="45"/>
      <c r="O66" s="176" t="s">
        <v>351</v>
      </c>
      <c r="P66" s="44"/>
      <c r="Q66" s="45"/>
      <c r="R66" s="177"/>
      <c r="S66" s="45"/>
      <c r="T66" s="176" t="s">
        <v>352</v>
      </c>
      <c r="U66" s="45"/>
      <c r="V66" s="177"/>
      <c r="W66" s="45"/>
      <c r="X66" s="176" t="s">
        <v>385</v>
      </c>
      <c r="Y66" s="45"/>
    </row>
    <row r="67" ht="31.5" customHeight="1">
      <c r="A67" s="139">
        <v>4.0</v>
      </c>
      <c r="B67" s="181"/>
      <c r="C67" s="177"/>
      <c r="D67" s="44"/>
      <c r="E67" s="44"/>
      <c r="F67" s="45"/>
      <c r="G67" s="177"/>
      <c r="H67" s="44"/>
      <c r="I67" s="44"/>
      <c r="J67" s="45"/>
      <c r="K67" s="177"/>
      <c r="L67" s="44"/>
      <c r="M67" s="44"/>
      <c r="N67" s="45"/>
      <c r="O67" s="177"/>
      <c r="P67" s="44"/>
      <c r="Q67" s="45"/>
      <c r="R67" s="177"/>
      <c r="S67" s="45"/>
      <c r="T67" s="177"/>
      <c r="U67" s="45"/>
      <c r="V67" s="177"/>
      <c r="W67" s="45"/>
      <c r="X67" s="177"/>
      <c r="Y67" s="45"/>
    </row>
    <row r="68" ht="31.5" customHeight="1">
      <c r="A68" s="139">
        <v>5.0</v>
      </c>
      <c r="B68" s="181"/>
      <c r="C68" s="177"/>
      <c r="D68" s="44"/>
      <c r="E68" s="44"/>
      <c r="F68" s="45"/>
      <c r="G68" s="177"/>
      <c r="H68" s="44"/>
      <c r="I68" s="44"/>
      <c r="J68" s="45"/>
      <c r="K68" s="177"/>
      <c r="L68" s="44"/>
      <c r="M68" s="44"/>
      <c r="N68" s="45"/>
      <c r="O68" s="177"/>
      <c r="P68" s="44"/>
      <c r="Q68" s="45"/>
      <c r="R68" s="177"/>
      <c r="S68" s="45"/>
      <c r="T68" s="177"/>
      <c r="U68" s="45"/>
      <c r="V68" s="177"/>
      <c r="W68" s="45"/>
      <c r="X68" s="177"/>
      <c r="Y68" s="45"/>
    </row>
    <row r="69" ht="31.5" customHeight="1">
      <c r="A69" s="98"/>
      <c r="B69" s="181"/>
      <c r="C69" s="177"/>
      <c r="D69" s="44"/>
      <c r="E69" s="44"/>
      <c r="F69" s="45"/>
      <c r="G69" s="177"/>
      <c r="H69" s="44"/>
      <c r="I69" s="44"/>
      <c r="J69" s="45"/>
      <c r="K69" s="177"/>
      <c r="L69" s="44"/>
      <c r="M69" s="44"/>
      <c r="N69" s="45"/>
      <c r="O69" s="177"/>
      <c r="P69" s="44"/>
      <c r="Q69" s="45"/>
      <c r="R69" s="177"/>
      <c r="S69" s="45"/>
      <c r="T69" s="177"/>
      <c r="U69" s="45"/>
      <c r="V69" s="177"/>
      <c r="W69" s="45"/>
      <c r="X69" s="177"/>
      <c r="Y69" s="45"/>
    </row>
    <row r="70" ht="31.5" customHeight="1">
      <c r="A70" s="139" t="s">
        <v>260</v>
      </c>
      <c r="B70" s="181"/>
      <c r="C70" s="177"/>
      <c r="D70" s="44"/>
      <c r="E70" s="44"/>
      <c r="F70" s="45"/>
      <c r="G70" s="177"/>
      <c r="H70" s="44"/>
      <c r="I70" s="44"/>
      <c r="J70" s="45"/>
      <c r="K70" s="177"/>
      <c r="L70" s="44"/>
      <c r="M70" s="44"/>
      <c r="N70" s="45"/>
      <c r="O70" s="177"/>
      <c r="P70" s="44"/>
      <c r="Q70" s="45"/>
      <c r="R70" s="177"/>
      <c r="S70" s="45"/>
      <c r="T70" s="177"/>
      <c r="U70" s="45"/>
      <c r="V70" s="177"/>
      <c r="W70" s="45"/>
      <c r="X70" s="177"/>
      <c r="Y70" s="45"/>
    </row>
    <row r="71" ht="31.5" customHeight="1"/>
    <row r="72" ht="31.5" customHeight="1"/>
    <row r="73" ht="31.5" customHeight="1">
      <c r="A73" s="169">
        <f>A37</f>
        <v>5</v>
      </c>
      <c r="B73" s="81" t="s">
        <v>246</v>
      </c>
      <c r="C73" s="145" t="s">
        <v>176</v>
      </c>
      <c r="D73" s="44"/>
      <c r="E73" s="44"/>
      <c r="F73" s="45"/>
      <c r="G73" s="81" t="s">
        <v>248</v>
      </c>
      <c r="H73" s="44"/>
      <c r="I73" s="44"/>
      <c r="J73" s="45"/>
      <c r="K73" s="138" t="s">
        <v>333</v>
      </c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5"/>
      <c r="X73" s="86" t="s">
        <v>362</v>
      </c>
      <c r="Y73" s="182" t="s">
        <v>342</v>
      </c>
    </row>
    <row r="74" ht="31.5" customHeight="1">
      <c r="A74" s="86" t="s">
        <v>1</v>
      </c>
      <c r="B74" s="86" t="s">
        <v>343</v>
      </c>
      <c r="C74" s="81" t="s">
        <v>344</v>
      </c>
      <c r="D74" s="44"/>
      <c r="E74" s="44"/>
      <c r="F74" s="45"/>
      <c r="G74" s="81" t="s">
        <v>345</v>
      </c>
      <c r="H74" s="44"/>
      <c r="I74" s="44"/>
      <c r="J74" s="45"/>
      <c r="K74" s="81" t="s">
        <v>346</v>
      </c>
      <c r="L74" s="44"/>
      <c r="M74" s="44"/>
      <c r="N74" s="45"/>
      <c r="O74" s="81" t="s">
        <v>347</v>
      </c>
      <c r="P74" s="44"/>
      <c r="Q74" s="45"/>
      <c r="R74" s="81" t="s">
        <v>263</v>
      </c>
      <c r="S74" s="45"/>
      <c r="T74" s="81" t="s">
        <v>268</v>
      </c>
      <c r="U74" s="45"/>
      <c r="V74" s="81" t="s">
        <v>254</v>
      </c>
      <c r="W74" s="45"/>
      <c r="X74" s="81" t="s">
        <v>348</v>
      </c>
      <c r="Y74" s="45"/>
    </row>
    <row r="75" ht="31.5" customHeight="1">
      <c r="A75" s="139">
        <v>1.0</v>
      </c>
      <c r="B75" s="175" t="s">
        <v>174</v>
      </c>
      <c r="C75" s="176" t="s">
        <v>386</v>
      </c>
      <c r="D75" s="44"/>
      <c r="E75" s="44"/>
      <c r="F75" s="45"/>
      <c r="G75" s="176" t="s">
        <v>350</v>
      </c>
      <c r="H75" s="44"/>
      <c r="I75" s="44"/>
      <c r="J75" s="45"/>
      <c r="K75" s="177"/>
      <c r="L75" s="44"/>
      <c r="M75" s="44"/>
      <c r="N75" s="45"/>
      <c r="O75" s="176" t="s">
        <v>351</v>
      </c>
      <c r="P75" s="44"/>
      <c r="Q75" s="45"/>
      <c r="R75" s="176" t="s">
        <v>352</v>
      </c>
      <c r="S75" s="45"/>
      <c r="T75" s="177"/>
      <c r="U75" s="45"/>
      <c r="V75" s="177"/>
      <c r="W75" s="45"/>
      <c r="X75" s="176" t="s">
        <v>387</v>
      </c>
      <c r="Y75" s="45"/>
    </row>
    <row r="76" ht="31.5" customHeight="1">
      <c r="A76" s="139">
        <v>2.0</v>
      </c>
      <c r="B76" s="175" t="s">
        <v>181</v>
      </c>
      <c r="C76" s="176" t="s">
        <v>388</v>
      </c>
      <c r="D76" s="44"/>
      <c r="E76" s="44"/>
      <c r="F76" s="45"/>
      <c r="G76" s="176" t="s">
        <v>355</v>
      </c>
      <c r="H76" s="44"/>
      <c r="I76" s="44"/>
      <c r="J76" s="45"/>
      <c r="K76" s="176">
        <v>50.0</v>
      </c>
      <c r="L76" s="44"/>
      <c r="M76" s="44"/>
      <c r="N76" s="45"/>
      <c r="O76" s="176" t="s">
        <v>351</v>
      </c>
      <c r="P76" s="44"/>
      <c r="Q76" s="45"/>
      <c r="R76" s="177"/>
      <c r="S76" s="45"/>
      <c r="T76" s="177"/>
      <c r="U76" s="45"/>
      <c r="V76" s="177"/>
      <c r="W76" s="45"/>
      <c r="X76" s="176" t="s">
        <v>389</v>
      </c>
      <c r="Y76" s="45"/>
    </row>
    <row r="77" ht="31.5" customHeight="1">
      <c r="A77" s="139">
        <v>3.0</v>
      </c>
      <c r="B77" s="175" t="s">
        <v>187</v>
      </c>
      <c r="C77" s="176" t="s">
        <v>390</v>
      </c>
      <c r="D77" s="44"/>
      <c r="E77" s="44"/>
      <c r="F77" s="45"/>
      <c r="G77" s="176" t="s">
        <v>391</v>
      </c>
      <c r="H77" s="44"/>
      <c r="I77" s="44"/>
      <c r="J77" s="45"/>
      <c r="K77" s="177"/>
      <c r="L77" s="44"/>
      <c r="M77" s="44"/>
      <c r="N77" s="45"/>
      <c r="O77" s="176" t="s">
        <v>351</v>
      </c>
      <c r="P77" s="44"/>
      <c r="Q77" s="45"/>
      <c r="R77" s="177"/>
      <c r="S77" s="45"/>
      <c r="T77" s="177"/>
      <c r="U77" s="45"/>
      <c r="V77" s="177"/>
      <c r="W77" s="45"/>
      <c r="X77" s="176" t="s">
        <v>392</v>
      </c>
      <c r="Y77" s="45"/>
    </row>
    <row r="78" ht="31.5" customHeight="1">
      <c r="A78" s="139">
        <v>4.0</v>
      </c>
      <c r="B78" s="175" t="s">
        <v>160</v>
      </c>
      <c r="C78" s="176" t="s">
        <v>393</v>
      </c>
      <c r="D78" s="44"/>
      <c r="E78" s="44"/>
      <c r="F78" s="45"/>
      <c r="G78" s="176" t="s">
        <v>350</v>
      </c>
      <c r="H78" s="44"/>
      <c r="I78" s="44"/>
      <c r="J78" s="45"/>
      <c r="K78" s="177"/>
      <c r="L78" s="44"/>
      <c r="M78" s="44"/>
      <c r="N78" s="45"/>
      <c r="O78" s="176" t="s">
        <v>351</v>
      </c>
      <c r="P78" s="44"/>
      <c r="Q78" s="45"/>
      <c r="R78" s="177"/>
      <c r="S78" s="45"/>
      <c r="T78" s="177"/>
      <c r="U78" s="45"/>
      <c r="V78" s="176" t="s">
        <v>352</v>
      </c>
      <c r="W78" s="45"/>
      <c r="X78" s="176" t="s">
        <v>394</v>
      </c>
      <c r="Y78" s="45"/>
    </row>
    <row r="79" ht="31.5" customHeight="1">
      <c r="A79" s="139">
        <v>5.0</v>
      </c>
      <c r="B79" s="181"/>
      <c r="C79" s="177"/>
      <c r="D79" s="44"/>
      <c r="E79" s="44"/>
      <c r="F79" s="45"/>
      <c r="G79" s="177"/>
      <c r="H79" s="44"/>
      <c r="I79" s="44"/>
      <c r="J79" s="45"/>
      <c r="K79" s="177"/>
      <c r="L79" s="44"/>
      <c r="M79" s="44"/>
      <c r="N79" s="45"/>
      <c r="O79" s="177"/>
      <c r="P79" s="44"/>
      <c r="Q79" s="45"/>
      <c r="R79" s="177"/>
      <c r="S79" s="45"/>
      <c r="T79" s="177"/>
      <c r="U79" s="45"/>
      <c r="V79" s="177"/>
      <c r="W79" s="45"/>
      <c r="X79" s="177"/>
      <c r="Y79" s="45"/>
    </row>
    <row r="80" ht="31.5" customHeight="1">
      <c r="A80" s="98"/>
      <c r="B80" s="181"/>
      <c r="C80" s="177"/>
      <c r="D80" s="44"/>
      <c r="E80" s="44"/>
      <c r="F80" s="45"/>
      <c r="G80" s="177"/>
      <c r="H80" s="44"/>
      <c r="I80" s="44"/>
      <c r="J80" s="45"/>
      <c r="K80" s="177"/>
      <c r="L80" s="44"/>
      <c r="M80" s="44"/>
      <c r="N80" s="45"/>
      <c r="O80" s="177"/>
      <c r="P80" s="44"/>
      <c r="Q80" s="45"/>
      <c r="R80" s="177"/>
      <c r="S80" s="45"/>
      <c r="T80" s="177"/>
      <c r="U80" s="45"/>
      <c r="V80" s="177"/>
      <c r="W80" s="45"/>
      <c r="X80" s="177"/>
      <c r="Y80" s="45"/>
    </row>
    <row r="81" ht="31.5" customHeight="1">
      <c r="A81" s="139" t="s">
        <v>260</v>
      </c>
      <c r="B81" s="181"/>
      <c r="C81" s="177"/>
      <c r="D81" s="44"/>
      <c r="E81" s="44"/>
      <c r="F81" s="45"/>
      <c r="G81" s="177"/>
      <c r="H81" s="44"/>
      <c r="I81" s="44"/>
      <c r="J81" s="45"/>
      <c r="K81" s="177"/>
      <c r="L81" s="44"/>
      <c r="M81" s="44"/>
      <c r="N81" s="45"/>
      <c r="O81" s="177"/>
      <c r="P81" s="44"/>
      <c r="Q81" s="45"/>
      <c r="R81" s="177"/>
      <c r="S81" s="45"/>
      <c r="T81" s="177"/>
      <c r="U81" s="45"/>
      <c r="V81" s="177"/>
      <c r="W81" s="45"/>
      <c r="X81" s="177"/>
      <c r="Y81" s="45"/>
    </row>
    <row r="82" ht="31.5" customHeight="1"/>
    <row r="83" ht="31.5" customHeight="1"/>
    <row r="84" ht="31.5" customHeight="1">
      <c r="A84" s="183">
        <v>6.0</v>
      </c>
      <c r="B84" s="81" t="s">
        <v>246</v>
      </c>
      <c r="C84" s="145" t="s">
        <v>38</v>
      </c>
      <c r="D84" s="44"/>
      <c r="E84" s="44"/>
      <c r="F84" s="45"/>
      <c r="G84" s="81" t="s">
        <v>248</v>
      </c>
      <c r="H84" s="44"/>
      <c r="I84" s="44"/>
      <c r="J84" s="45"/>
      <c r="K84" s="138" t="s">
        <v>335</v>
      </c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5"/>
      <c r="X84" s="86" t="s">
        <v>362</v>
      </c>
      <c r="Y84" s="182" t="s">
        <v>342</v>
      </c>
    </row>
    <row r="85" ht="31.5" customHeight="1">
      <c r="A85" s="86" t="s">
        <v>1</v>
      </c>
      <c r="B85" s="86" t="s">
        <v>343</v>
      </c>
      <c r="C85" s="81" t="s">
        <v>344</v>
      </c>
      <c r="D85" s="44"/>
      <c r="E85" s="44"/>
      <c r="F85" s="45"/>
      <c r="G85" s="81" t="s">
        <v>345</v>
      </c>
      <c r="H85" s="44"/>
      <c r="I85" s="44"/>
      <c r="J85" s="45"/>
      <c r="K85" s="81" t="s">
        <v>346</v>
      </c>
      <c r="L85" s="44"/>
      <c r="M85" s="44"/>
      <c r="N85" s="45"/>
      <c r="O85" s="81" t="s">
        <v>347</v>
      </c>
      <c r="P85" s="44"/>
      <c r="Q85" s="45"/>
      <c r="R85" s="81" t="s">
        <v>263</v>
      </c>
      <c r="S85" s="45"/>
      <c r="T85" s="81" t="s">
        <v>268</v>
      </c>
      <c r="U85" s="45"/>
      <c r="V85" s="81" t="s">
        <v>254</v>
      </c>
      <c r="W85" s="45"/>
      <c r="X85" s="81" t="s">
        <v>348</v>
      </c>
      <c r="Y85" s="45"/>
    </row>
    <row r="86" ht="31.5" customHeight="1">
      <c r="A86" s="139">
        <v>1.0</v>
      </c>
      <c r="B86" s="184" t="s">
        <v>192</v>
      </c>
      <c r="C86" s="176" t="s">
        <v>395</v>
      </c>
      <c r="D86" s="44"/>
      <c r="E86" s="44"/>
      <c r="F86" s="45"/>
      <c r="G86" s="176" t="s">
        <v>350</v>
      </c>
      <c r="H86" s="44"/>
      <c r="I86" s="44"/>
      <c r="J86" s="45"/>
      <c r="K86" s="177"/>
      <c r="L86" s="44"/>
      <c r="M86" s="44"/>
      <c r="N86" s="45"/>
      <c r="O86" s="176" t="s">
        <v>351</v>
      </c>
      <c r="P86" s="44"/>
      <c r="Q86" s="45"/>
      <c r="R86" s="176" t="s">
        <v>352</v>
      </c>
      <c r="S86" s="45"/>
      <c r="T86" s="177"/>
      <c r="U86" s="45"/>
      <c r="V86" s="177"/>
      <c r="W86" s="45"/>
      <c r="X86" s="176" t="s">
        <v>396</v>
      </c>
      <c r="Y86" s="45"/>
    </row>
    <row r="87" ht="31.5" customHeight="1">
      <c r="A87" s="139">
        <v>2.0</v>
      </c>
      <c r="B87" s="175" t="s">
        <v>198</v>
      </c>
      <c r="C87" s="176" t="s">
        <v>397</v>
      </c>
      <c r="D87" s="44"/>
      <c r="E87" s="44"/>
      <c r="F87" s="45"/>
      <c r="G87" s="176" t="s">
        <v>391</v>
      </c>
      <c r="H87" s="44"/>
      <c r="I87" s="44"/>
      <c r="J87" s="45"/>
      <c r="K87" s="177"/>
      <c r="L87" s="44"/>
      <c r="M87" s="44"/>
      <c r="N87" s="45"/>
      <c r="O87" s="176" t="s">
        <v>351</v>
      </c>
      <c r="P87" s="44"/>
      <c r="Q87" s="45"/>
      <c r="R87" s="177"/>
      <c r="S87" s="45"/>
      <c r="T87" s="177"/>
      <c r="U87" s="45"/>
      <c r="V87" s="177"/>
      <c r="W87" s="45"/>
      <c r="X87" s="176" t="s">
        <v>398</v>
      </c>
      <c r="Y87" s="45"/>
    </row>
    <row r="88" ht="31.5" customHeight="1">
      <c r="A88" s="139">
        <v>3.0</v>
      </c>
      <c r="B88" s="175" t="s">
        <v>201</v>
      </c>
      <c r="C88" s="176" t="s">
        <v>399</v>
      </c>
      <c r="D88" s="44"/>
      <c r="E88" s="44"/>
      <c r="F88" s="45"/>
      <c r="G88" s="176" t="s">
        <v>355</v>
      </c>
      <c r="H88" s="44"/>
      <c r="I88" s="44"/>
      <c r="J88" s="45"/>
      <c r="K88" s="176">
        <v>50.0</v>
      </c>
      <c r="L88" s="44"/>
      <c r="M88" s="44"/>
      <c r="N88" s="45"/>
      <c r="O88" s="176" t="s">
        <v>351</v>
      </c>
      <c r="P88" s="44"/>
      <c r="Q88" s="45"/>
      <c r="R88" s="177"/>
      <c r="S88" s="45"/>
      <c r="T88" s="177"/>
      <c r="U88" s="45"/>
      <c r="V88" s="177"/>
      <c r="W88" s="45"/>
      <c r="X88" s="47" t="s">
        <v>400</v>
      </c>
      <c r="Y88" s="180"/>
    </row>
    <row r="89" ht="31.5" customHeight="1">
      <c r="A89" s="139">
        <v>4.0</v>
      </c>
      <c r="B89" s="175" t="s">
        <v>101</v>
      </c>
      <c r="C89" s="176" t="s">
        <v>401</v>
      </c>
      <c r="D89" s="44"/>
      <c r="E89" s="44"/>
      <c r="F89" s="45"/>
      <c r="G89" s="176" t="s">
        <v>350</v>
      </c>
      <c r="H89" s="44"/>
      <c r="I89" s="44"/>
      <c r="J89" s="45"/>
      <c r="K89" s="177"/>
      <c r="L89" s="44"/>
      <c r="M89" s="44"/>
      <c r="N89" s="45"/>
      <c r="O89" s="176" t="s">
        <v>351</v>
      </c>
      <c r="P89" s="44"/>
      <c r="Q89" s="45"/>
      <c r="R89" s="177"/>
      <c r="S89" s="45"/>
      <c r="T89" s="176" t="s">
        <v>352</v>
      </c>
      <c r="U89" s="45"/>
      <c r="V89" s="177"/>
      <c r="W89" s="45"/>
      <c r="X89" s="176" t="s">
        <v>402</v>
      </c>
      <c r="Y89" s="45"/>
    </row>
    <row r="90" ht="31.5" customHeight="1">
      <c r="A90" s="139">
        <v>5.0</v>
      </c>
      <c r="B90" s="181"/>
      <c r="C90" s="177"/>
      <c r="D90" s="44"/>
      <c r="E90" s="44"/>
      <c r="F90" s="45"/>
      <c r="G90" s="177"/>
      <c r="H90" s="44"/>
      <c r="I90" s="44"/>
      <c r="J90" s="45"/>
      <c r="K90" s="177"/>
      <c r="L90" s="44"/>
      <c r="M90" s="44"/>
      <c r="N90" s="45"/>
      <c r="O90" s="177"/>
      <c r="P90" s="44"/>
      <c r="Q90" s="45"/>
      <c r="R90" s="177"/>
      <c r="S90" s="45"/>
      <c r="T90" s="177"/>
      <c r="U90" s="45"/>
      <c r="V90" s="177"/>
      <c r="W90" s="45"/>
      <c r="X90" s="177"/>
      <c r="Y90" s="45"/>
    </row>
    <row r="91" ht="31.5" customHeight="1">
      <c r="A91" s="98"/>
      <c r="B91" s="181"/>
      <c r="C91" s="177"/>
      <c r="D91" s="44"/>
      <c r="E91" s="44"/>
      <c r="F91" s="45"/>
      <c r="G91" s="177"/>
      <c r="H91" s="44"/>
      <c r="I91" s="44"/>
      <c r="J91" s="45"/>
      <c r="K91" s="177"/>
      <c r="L91" s="44"/>
      <c r="M91" s="44"/>
      <c r="N91" s="45"/>
      <c r="O91" s="177"/>
      <c r="P91" s="44"/>
      <c r="Q91" s="45"/>
      <c r="R91" s="177"/>
      <c r="S91" s="45"/>
      <c r="T91" s="177"/>
      <c r="U91" s="45"/>
      <c r="V91" s="177"/>
      <c r="W91" s="45"/>
      <c r="X91" s="177"/>
      <c r="Y91" s="45"/>
    </row>
    <row r="92" ht="31.5" customHeight="1">
      <c r="A92" s="139" t="s">
        <v>260</v>
      </c>
      <c r="B92" s="181"/>
      <c r="C92" s="177"/>
      <c r="D92" s="44"/>
      <c r="E92" s="44"/>
      <c r="F92" s="45"/>
      <c r="G92" s="177"/>
      <c r="H92" s="44"/>
      <c r="I92" s="44"/>
      <c r="J92" s="45"/>
      <c r="K92" s="177"/>
      <c r="L92" s="44"/>
      <c r="M92" s="44"/>
      <c r="N92" s="45"/>
      <c r="O92" s="177"/>
      <c r="P92" s="44"/>
      <c r="Q92" s="45"/>
      <c r="R92" s="177"/>
      <c r="S92" s="45"/>
      <c r="T92" s="177"/>
      <c r="U92" s="45"/>
      <c r="V92" s="177"/>
      <c r="W92" s="45"/>
      <c r="X92" s="177"/>
      <c r="Y92" s="45"/>
    </row>
    <row r="93" ht="31.5" customHeight="1"/>
    <row r="94" ht="31.5" customHeight="1"/>
    <row r="95" ht="31.5" customHeight="1">
      <c r="A95" s="183">
        <v>7.0</v>
      </c>
      <c r="B95" s="81" t="s">
        <v>246</v>
      </c>
      <c r="C95" s="145" t="s">
        <v>211</v>
      </c>
      <c r="D95" s="44"/>
      <c r="E95" s="44"/>
      <c r="F95" s="45"/>
      <c r="G95" s="81" t="s">
        <v>248</v>
      </c>
      <c r="H95" s="44"/>
      <c r="I95" s="44"/>
      <c r="J95" s="45"/>
      <c r="K95" s="138" t="s">
        <v>338</v>
      </c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5"/>
      <c r="X95" s="86" t="s">
        <v>362</v>
      </c>
      <c r="Y95" s="182" t="s">
        <v>342</v>
      </c>
    </row>
    <row r="96" ht="31.5" customHeight="1">
      <c r="A96" s="86" t="s">
        <v>1</v>
      </c>
      <c r="B96" s="86" t="s">
        <v>343</v>
      </c>
      <c r="C96" s="81" t="s">
        <v>344</v>
      </c>
      <c r="D96" s="44"/>
      <c r="E96" s="44"/>
      <c r="F96" s="45"/>
      <c r="G96" s="81" t="s">
        <v>345</v>
      </c>
      <c r="H96" s="44"/>
      <c r="I96" s="44"/>
      <c r="J96" s="45"/>
      <c r="K96" s="81" t="s">
        <v>346</v>
      </c>
      <c r="L96" s="44"/>
      <c r="M96" s="44"/>
      <c r="N96" s="45"/>
      <c r="O96" s="81" t="s">
        <v>347</v>
      </c>
      <c r="P96" s="44"/>
      <c r="Q96" s="45"/>
      <c r="R96" s="81" t="s">
        <v>263</v>
      </c>
      <c r="S96" s="45"/>
      <c r="T96" s="81" t="s">
        <v>268</v>
      </c>
      <c r="U96" s="45"/>
      <c r="V96" s="81" t="s">
        <v>254</v>
      </c>
      <c r="W96" s="45"/>
      <c r="X96" s="81" t="s">
        <v>348</v>
      </c>
      <c r="Y96" s="45"/>
    </row>
    <row r="97" ht="31.5" customHeight="1">
      <c r="A97" s="139">
        <v>1.0</v>
      </c>
      <c r="B97" s="175" t="s">
        <v>209</v>
      </c>
      <c r="C97" s="176" t="s">
        <v>403</v>
      </c>
      <c r="D97" s="44"/>
      <c r="E97" s="44"/>
      <c r="F97" s="45"/>
      <c r="G97" s="176" t="s">
        <v>350</v>
      </c>
      <c r="H97" s="44"/>
      <c r="I97" s="44"/>
      <c r="J97" s="45"/>
      <c r="K97" s="177"/>
      <c r="L97" s="44"/>
      <c r="M97" s="44"/>
      <c r="N97" s="45"/>
      <c r="O97" s="176" t="s">
        <v>351</v>
      </c>
      <c r="P97" s="44"/>
      <c r="Q97" s="45"/>
      <c r="R97" s="176" t="s">
        <v>352</v>
      </c>
      <c r="S97" s="45"/>
      <c r="T97" s="177"/>
      <c r="U97" s="45"/>
      <c r="V97" s="177"/>
      <c r="W97" s="45"/>
      <c r="X97" s="176" t="s">
        <v>404</v>
      </c>
      <c r="Y97" s="45"/>
    </row>
    <row r="98" ht="31.5" customHeight="1">
      <c r="A98" s="139">
        <v>2.0</v>
      </c>
      <c r="B98" s="175" t="s">
        <v>192</v>
      </c>
      <c r="C98" s="176" t="s">
        <v>405</v>
      </c>
      <c r="D98" s="44"/>
      <c r="E98" s="44"/>
      <c r="F98" s="45"/>
      <c r="G98" s="176" t="s">
        <v>350</v>
      </c>
      <c r="H98" s="44"/>
      <c r="I98" s="44"/>
      <c r="J98" s="45"/>
      <c r="K98" s="177"/>
      <c r="L98" s="44"/>
      <c r="M98" s="44"/>
      <c r="N98" s="45"/>
      <c r="O98" s="176" t="s">
        <v>351</v>
      </c>
      <c r="P98" s="44"/>
      <c r="Q98" s="45"/>
      <c r="R98" s="177"/>
      <c r="S98" s="45"/>
      <c r="T98" s="176" t="s">
        <v>352</v>
      </c>
      <c r="U98" s="45"/>
      <c r="V98" s="177"/>
      <c r="W98" s="45"/>
      <c r="X98" s="176" t="s">
        <v>406</v>
      </c>
      <c r="Y98" s="45"/>
    </row>
    <row r="99" ht="31.5" customHeight="1">
      <c r="A99" s="139">
        <v>3.0</v>
      </c>
      <c r="B99" s="175" t="s">
        <v>143</v>
      </c>
      <c r="C99" s="176" t="s">
        <v>407</v>
      </c>
      <c r="D99" s="44"/>
      <c r="E99" s="44"/>
      <c r="F99" s="45"/>
      <c r="G99" s="176" t="s">
        <v>350</v>
      </c>
      <c r="H99" s="44"/>
      <c r="I99" s="44"/>
      <c r="J99" s="45"/>
      <c r="K99" s="177"/>
      <c r="L99" s="44"/>
      <c r="M99" s="44"/>
      <c r="N99" s="45"/>
      <c r="O99" s="176" t="s">
        <v>351</v>
      </c>
      <c r="P99" s="44"/>
      <c r="Q99" s="45"/>
      <c r="R99" s="177"/>
      <c r="S99" s="45"/>
      <c r="T99" s="176" t="s">
        <v>352</v>
      </c>
      <c r="U99" s="45"/>
      <c r="V99" s="177"/>
      <c r="W99" s="45"/>
      <c r="X99" s="176" t="s">
        <v>408</v>
      </c>
      <c r="Y99" s="45"/>
    </row>
    <row r="100" ht="31.5" customHeight="1">
      <c r="A100" s="139">
        <v>4.0</v>
      </c>
      <c r="B100" s="175" t="s">
        <v>220</v>
      </c>
      <c r="C100" s="176" t="s">
        <v>409</v>
      </c>
      <c r="D100" s="44"/>
      <c r="E100" s="44"/>
      <c r="F100" s="45"/>
      <c r="G100" s="176" t="s">
        <v>350</v>
      </c>
      <c r="H100" s="44"/>
      <c r="I100" s="44"/>
      <c r="J100" s="45"/>
      <c r="K100" s="177"/>
      <c r="L100" s="44"/>
      <c r="M100" s="44"/>
      <c r="N100" s="45"/>
      <c r="O100" s="176" t="s">
        <v>351</v>
      </c>
      <c r="P100" s="44"/>
      <c r="Q100" s="45"/>
      <c r="R100" s="177"/>
      <c r="S100" s="45"/>
      <c r="T100" s="177"/>
      <c r="U100" s="45"/>
      <c r="V100" s="177"/>
      <c r="W100" s="45"/>
      <c r="X100" s="176" t="s">
        <v>410</v>
      </c>
      <c r="Y100" s="45"/>
    </row>
    <row r="101" ht="31.5" customHeight="1">
      <c r="A101" s="139">
        <v>5.0</v>
      </c>
      <c r="B101" s="175" t="s">
        <v>223</v>
      </c>
      <c r="C101" s="176" t="s">
        <v>411</v>
      </c>
      <c r="D101" s="44"/>
      <c r="E101" s="44"/>
      <c r="F101" s="45"/>
      <c r="G101" s="176" t="s">
        <v>376</v>
      </c>
      <c r="H101" s="44"/>
      <c r="I101" s="44"/>
      <c r="J101" s="45"/>
      <c r="K101" s="176">
        <v>10.2</v>
      </c>
      <c r="L101" s="44"/>
      <c r="M101" s="44"/>
      <c r="N101" s="45"/>
      <c r="O101" s="176" t="s">
        <v>351</v>
      </c>
      <c r="P101" s="44"/>
      <c r="Q101" s="45"/>
      <c r="R101" s="177"/>
      <c r="S101" s="45"/>
      <c r="T101" s="177"/>
      <c r="U101" s="45"/>
      <c r="V101" s="177"/>
      <c r="W101" s="45"/>
      <c r="X101" s="176" t="s">
        <v>412</v>
      </c>
      <c r="Y101" s="45"/>
    </row>
    <row r="102" ht="31.5" customHeight="1">
      <c r="A102" s="98"/>
      <c r="B102" s="181"/>
      <c r="C102" s="177"/>
      <c r="D102" s="44"/>
      <c r="E102" s="44"/>
      <c r="F102" s="45"/>
      <c r="G102" s="177"/>
      <c r="H102" s="44"/>
      <c r="I102" s="44"/>
      <c r="J102" s="45"/>
      <c r="K102" s="177"/>
      <c r="L102" s="44"/>
      <c r="M102" s="44"/>
      <c r="N102" s="45"/>
      <c r="O102" s="177"/>
      <c r="P102" s="44"/>
      <c r="Q102" s="45"/>
      <c r="R102" s="177"/>
      <c r="S102" s="45"/>
      <c r="T102" s="177"/>
      <c r="U102" s="45"/>
      <c r="V102" s="177"/>
      <c r="W102" s="45"/>
      <c r="X102" s="177"/>
      <c r="Y102" s="45"/>
    </row>
    <row r="103" ht="31.5" customHeight="1">
      <c r="A103" s="139" t="s">
        <v>260</v>
      </c>
      <c r="B103" s="181"/>
      <c r="C103" s="177"/>
      <c r="D103" s="44"/>
      <c r="E103" s="44"/>
      <c r="F103" s="45"/>
      <c r="G103" s="177"/>
      <c r="H103" s="44"/>
      <c r="I103" s="44"/>
      <c r="J103" s="45"/>
      <c r="K103" s="177"/>
      <c r="L103" s="44"/>
      <c r="M103" s="44"/>
      <c r="N103" s="45"/>
      <c r="O103" s="177"/>
      <c r="P103" s="44"/>
      <c r="Q103" s="45"/>
      <c r="R103" s="177"/>
      <c r="S103" s="45"/>
      <c r="T103" s="177"/>
      <c r="U103" s="45"/>
      <c r="V103" s="177"/>
      <c r="W103" s="45"/>
      <c r="X103" s="177"/>
      <c r="Y103" s="45"/>
    </row>
    <row r="104" ht="31.5" customHeight="1"/>
    <row r="105" ht="31.5" customHeight="1"/>
    <row r="106" ht="31.5" customHeight="1"/>
    <row r="107" ht="31.5" customHeight="1"/>
    <row r="108" ht="31.5" customHeight="1"/>
    <row r="109" ht="31.5" customHeight="1"/>
    <row r="110" ht="31.5" customHeight="1"/>
    <row r="111" ht="31.5" customHeight="1"/>
    <row r="112" ht="31.5" customHeight="1"/>
    <row r="113" ht="31.5" customHeight="1"/>
    <row r="114" ht="31.5" customHeight="1"/>
    <row r="115" ht="31.5" customHeight="1"/>
    <row r="116" ht="31.5" customHeight="1"/>
    <row r="117" ht="31.5" customHeight="1"/>
    <row r="118" ht="31.5" customHeight="1"/>
    <row r="119" ht="31.5" customHeight="1"/>
    <row r="120" ht="31.5" customHeight="1"/>
    <row r="121" ht="31.5" customHeight="1"/>
    <row r="122" ht="31.5" customHeight="1"/>
    <row r="123" ht="31.5" customHeight="1"/>
    <row r="124" ht="31.5" customHeight="1"/>
    <row r="125" ht="31.5" customHeight="1"/>
    <row r="126" ht="31.5" customHeight="1"/>
    <row r="127" ht="31.5" customHeight="1"/>
    <row r="128" ht="31.5" customHeight="1"/>
    <row r="129" ht="31.5" customHeight="1"/>
    <row r="130" ht="31.5" customHeight="1"/>
    <row r="131" ht="31.5" customHeight="1"/>
    <row r="132" ht="31.5" customHeight="1"/>
    <row r="133" ht="31.5" customHeight="1"/>
    <row r="134" ht="31.5" customHeight="1"/>
    <row r="135" ht="31.5" customHeight="1"/>
    <row r="136" ht="31.5" customHeight="1"/>
    <row r="137" ht="31.5" customHeight="1"/>
    <row r="138" ht="31.5" customHeight="1"/>
    <row r="139" ht="31.5" customHeight="1"/>
    <row r="140" ht="31.5" customHeight="1"/>
    <row r="141" ht="31.5" customHeight="1"/>
    <row r="142" ht="31.5" customHeight="1"/>
    <row r="143" ht="31.5" customHeight="1"/>
    <row r="144" ht="31.5" customHeight="1"/>
    <row r="145" ht="31.5" customHeight="1"/>
    <row r="146" ht="31.5" customHeight="1"/>
    <row r="147" ht="31.5" customHeight="1"/>
    <row r="148" ht="31.5" customHeight="1"/>
    <row r="149" ht="31.5" customHeight="1"/>
    <row r="150" ht="31.5" customHeight="1"/>
    <row r="151" ht="31.5" customHeight="1"/>
    <row r="152" ht="31.5" customHeight="1"/>
    <row r="153" ht="31.5" customHeight="1"/>
    <row r="154" ht="31.5" customHeight="1"/>
    <row r="155" ht="31.5" customHeight="1"/>
    <row r="156" ht="31.5" customHeight="1"/>
    <row r="157" ht="31.5" customHeight="1"/>
    <row r="158" ht="31.5" customHeight="1"/>
    <row r="159" ht="31.5" customHeight="1"/>
    <row r="160" ht="31.5" customHeight="1"/>
    <row r="161" ht="31.5" customHeight="1"/>
    <row r="162" ht="31.5" customHeight="1"/>
    <row r="163" ht="31.5" customHeight="1"/>
    <row r="164" ht="31.5" customHeight="1"/>
    <row r="165" ht="31.5" customHeight="1"/>
    <row r="166" ht="31.5" customHeight="1"/>
    <row r="167" ht="31.5" customHeight="1"/>
    <row r="168" ht="31.5" customHeight="1"/>
    <row r="169" ht="31.5" customHeight="1"/>
    <row r="170" ht="31.5" customHeight="1"/>
    <row r="171" ht="31.5" customHeight="1"/>
    <row r="172" ht="31.5" customHeight="1"/>
    <row r="173" ht="31.5" customHeight="1"/>
    <row r="174" ht="31.5" customHeight="1"/>
    <row r="175" ht="31.5" customHeight="1"/>
    <row r="176" ht="31.5" customHeight="1"/>
    <row r="177" ht="31.5" customHeight="1"/>
    <row r="178" ht="31.5" customHeight="1"/>
    <row r="179" ht="31.5" customHeight="1"/>
    <row r="180" ht="31.5" customHeight="1"/>
    <row r="181" ht="31.5" customHeight="1"/>
    <row r="182" ht="31.5" customHeight="1"/>
    <row r="183" ht="31.5" customHeight="1"/>
    <row r="184" ht="31.5" customHeight="1"/>
    <row r="185" ht="31.5" customHeight="1"/>
    <row r="186" ht="31.5" customHeight="1"/>
    <row r="187" ht="31.5" customHeight="1"/>
    <row r="188" ht="31.5" customHeight="1"/>
    <row r="189" ht="31.5" customHeight="1"/>
    <row r="190" ht="31.5" customHeight="1"/>
    <row r="191" ht="31.5" customHeight="1"/>
    <row r="192" ht="31.5" customHeight="1"/>
    <row r="193" ht="31.5" customHeight="1"/>
    <row r="194" ht="31.5" customHeight="1"/>
    <row r="195" ht="31.5" customHeight="1"/>
    <row r="196" ht="31.5" customHeight="1"/>
    <row r="197" ht="31.5" customHeight="1"/>
    <row r="198" ht="31.5" customHeight="1"/>
    <row r="199" ht="31.5" customHeight="1"/>
    <row r="200" ht="31.5" customHeight="1"/>
    <row r="201" ht="31.5" customHeight="1"/>
    <row r="202" ht="31.5" customHeight="1"/>
    <row r="203" ht="31.5" customHeight="1"/>
    <row r="204" ht="31.5" customHeight="1"/>
    <row r="205" ht="31.5" customHeight="1"/>
    <row r="206" ht="31.5" customHeight="1"/>
    <row r="207" ht="31.5" customHeight="1"/>
    <row r="208" ht="31.5" customHeight="1"/>
    <row r="209" ht="31.5" customHeight="1"/>
    <row r="210" ht="31.5" customHeight="1"/>
    <row r="211" ht="31.5" customHeight="1"/>
    <row r="212" ht="31.5" customHeight="1"/>
    <row r="213" ht="31.5" customHeight="1"/>
    <row r="214" ht="31.5" customHeight="1"/>
    <row r="215" ht="31.5" customHeight="1"/>
    <row r="216" ht="31.5" customHeight="1"/>
    <row r="217" ht="31.5" customHeight="1"/>
    <row r="218" ht="31.5" customHeight="1"/>
    <row r="219" ht="31.5" customHeight="1"/>
    <row r="220" ht="31.5" customHeight="1"/>
    <row r="221" ht="31.5" customHeight="1"/>
    <row r="222" ht="31.5" customHeight="1"/>
    <row r="223" ht="31.5" customHeight="1"/>
    <row r="224" ht="31.5" customHeight="1"/>
    <row r="225" ht="31.5" customHeight="1"/>
    <row r="226" ht="31.5" customHeight="1"/>
    <row r="227" ht="31.5" customHeight="1"/>
    <row r="228" ht="31.5" customHeight="1"/>
    <row r="229" ht="31.5" customHeight="1"/>
    <row r="230" ht="31.5" customHeight="1"/>
    <row r="231" ht="31.5" customHeight="1"/>
    <row r="232" ht="31.5" customHeight="1"/>
    <row r="233" ht="31.5" customHeight="1"/>
    <row r="234" ht="31.5" customHeight="1"/>
    <row r="235" ht="31.5" customHeight="1"/>
    <row r="236" ht="31.5" customHeight="1"/>
    <row r="237" ht="31.5" customHeight="1"/>
    <row r="238" ht="31.5" customHeight="1"/>
    <row r="239" ht="31.5" customHeight="1"/>
    <row r="240" ht="31.5" customHeight="1"/>
    <row r="241" ht="31.5" customHeight="1"/>
    <row r="242" ht="31.5" customHeight="1"/>
    <row r="243" ht="31.5" customHeight="1"/>
    <row r="244" ht="31.5" customHeight="1"/>
    <row r="245" ht="31.5" customHeight="1"/>
    <row r="246" ht="31.5" customHeight="1"/>
    <row r="247" ht="31.5" customHeight="1"/>
    <row r="248" ht="31.5" customHeight="1"/>
    <row r="249" ht="31.5" customHeight="1"/>
    <row r="250" ht="31.5" customHeight="1"/>
    <row r="251" ht="31.5" customHeight="1"/>
    <row r="252" ht="31.5" customHeight="1"/>
    <row r="253" ht="31.5" customHeight="1"/>
    <row r="254" ht="31.5" customHeight="1"/>
    <row r="255" ht="31.5" customHeight="1"/>
    <row r="256" ht="31.5" customHeight="1"/>
    <row r="257" ht="31.5" customHeight="1"/>
    <row r="258" ht="31.5" customHeight="1"/>
    <row r="259" ht="31.5" customHeight="1"/>
    <row r="260" ht="31.5" customHeight="1"/>
    <row r="261" ht="31.5" customHeight="1"/>
    <row r="262" ht="31.5" customHeight="1"/>
    <row r="263" ht="31.5" customHeight="1"/>
    <row r="264" ht="31.5" customHeight="1"/>
    <row r="265" ht="31.5" customHeight="1"/>
    <row r="266" ht="31.5" customHeight="1"/>
    <row r="267" ht="31.5" customHeight="1"/>
    <row r="268" ht="31.5" customHeight="1"/>
    <row r="269" ht="31.5" customHeight="1"/>
    <row r="270" ht="31.5" customHeight="1"/>
    <row r="271" ht="31.5" customHeight="1"/>
    <row r="272" ht="31.5" customHeight="1"/>
    <row r="273" ht="31.5" customHeight="1"/>
    <row r="274" ht="31.5" customHeight="1"/>
    <row r="275" ht="31.5" customHeight="1"/>
    <row r="276" ht="31.5" customHeight="1"/>
    <row r="277" ht="31.5" customHeight="1"/>
    <row r="278" ht="31.5" customHeight="1"/>
    <row r="279" ht="31.5" customHeight="1"/>
    <row r="280" ht="31.5" customHeight="1"/>
    <row r="281" ht="31.5" customHeight="1"/>
    <row r="282" ht="31.5" customHeight="1"/>
    <row r="283" ht="31.5" customHeight="1"/>
    <row r="284" ht="31.5" customHeight="1"/>
    <row r="285" ht="31.5" customHeight="1"/>
    <row r="286" ht="31.5" customHeight="1"/>
    <row r="287" ht="31.5" customHeight="1"/>
    <row r="288" ht="31.5" customHeight="1"/>
    <row r="289" ht="31.5" customHeight="1"/>
    <row r="290" ht="31.5" customHeight="1"/>
    <row r="291" ht="31.5" customHeight="1"/>
    <row r="292" ht="31.5" customHeight="1"/>
    <row r="293" ht="31.5" customHeight="1"/>
    <row r="294" ht="31.5" customHeight="1"/>
    <row r="295" ht="31.5" customHeight="1"/>
    <row r="296" ht="31.5" customHeight="1"/>
    <row r="297" ht="31.5" customHeight="1"/>
    <row r="298" ht="31.5" customHeight="1"/>
    <row r="299" ht="31.5" customHeight="1"/>
    <row r="300" ht="31.5" customHeight="1"/>
    <row r="301" ht="31.5" customHeight="1"/>
    <row r="302" ht="31.5" customHeight="1"/>
    <row r="303" ht="31.5" customHeight="1"/>
    <row r="304" ht="31.5" customHeight="1"/>
    <row r="305" ht="31.5" customHeight="1"/>
    <row r="306" ht="31.5" customHeight="1"/>
    <row r="307" ht="31.5" customHeight="1"/>
    <row r="308" ht="31.5" customHeight="1"/>
    <row r="309" ht="31.5" customHeight="1"/>
    <row r="310" ht="31.5" customHeight="1"/>
    <row r="311" ht="31.5" customHeight="1"/>
    <row r="312" ht="31.5" customHeight="1"/>
    <row r="313" ht="31.5" customHeight="1"/>
    <row r="314" ht="31.5" customHeight="1"/>
    <row r="315" ht="31.5" customHeight="1"/>
    <row r="316" ht="31.5" customHeight="1"/>
    <row r="317" ht="31.5" customHeight="1"/>
    <row r="318" ht="31.5" customHeight="1"/>
    <row r="319" ht="31.5" customHeight="1"/>
    <row r="320" ht="31.5" customHeight="1"/>
    <row r="321" ht="31.5" customHeight="1"/>
    <row r="322" ht="31.5" customHeight="1"/>
    <row r="323" ht="31.5" customHeight="1"/>
    <row r="324" ht="31.5" customHeight="1"/>
    <row r="325" ht="31.5" customHeight="1"/>
    <row r="326" ht="31.5" customHeight="1"/>
    <row r="327" ht="31.5" customHeight="1"/>
    <row r="328" ht="31.5" customHeight="1"/>
    <row r="329" ht="31.5" customHeight="1"/>
    <row r="330" ht="31.5" customHeight="1"/>
    <row r="331" ht="31.5" customHeight="1"/>
    <row r="332" ht="31.5" customHeight="1"/>
    <row r="333" ht="31.5" customHeight="1"/>
    <row r="334" ht="31.5" customHeight="1"/>
    <row r="335" ht="31.5" customHeight="1"/>
    <row r="336" ht="31.5" customHeight="1"/>
    <row r="337" ht="31.5" customHeight="1"/>
    <row r="338" ht="31.5" customHeight="1"/>
    <row r="339" ht="31.5" customHeight="1"/>
    <row r="340" ht="31.5" customHeight="1"/>
    <row r="341" ht="31.5" customHeight="1"/>
    <row r="342" ht="31.5" customHeight="1"/>
    <row r="343" ht="31.5" customHeight="1"/>
    <row r="344" ht="31.5" customHeight="1"/>
    <row r="345" ht="31.5" customHeight="1"/>
    <row r="346" ht="31.5" customHeight="1"/>
    <row r="347" ht="31.5" customHeight="1"/>
    <row r="348" ht="31.5" customHeight="1"/>
    <row r="349" ht="31.5" customHeight="1"/>
    <row r="350" ht="31.5" customHeight="1"/>
    <row r="351" ht="31.5" customHeight="1"/>
    <row r="352" ht="31.5" customHeight="1"/>
    <row r="353" ht="31.5" customHeight="1"/>
    <row r="354" ht="31.5" customHeight="1"/>
    <row r="355" ht="31.5" customHeight="1"/>
    <row r="356" ht="31.5" customHeight="1"/>
    <row r="357" ht="31.5" customHeight="1"/>
    <row r="358" ht="31.5" customHeight="1"/>
    <row r="359" ht="31.5" customHeight="1"/>
    <row r="360" ht="31.5" customHeight="1"/>
    <row r="361" ht="31.5" customHeight="1"/>
    <row r="362" ht="31.5" customHeight="1"/>
    <row r="363" ht="31.5" customHeight="1"/>
    <row r="364" ht="31.5" customHeight="1"/>
    <row r="365" ht="31.5" customHeight="1"/>
    <row r="366" ht="31.5" customHeight="1"/>
    <row r="367" ht="31.5" customHeight="1"/>
    <row r="368" ht="31.5" customHeight="1"/>
    <row r="369" ht="31.5" customHeight="1"/>
    <row r="370" ht="31.5" customHeight="1"/>
    <row r="371" ht="31.5" customHeight="1"/>
    <row r="372" ht="31.5" customHeight="1"/>
    <row r="373" ht="31.5" customHeight="1"/>
    <row r="374" ht="31.5" customHeight="1"/>
    <row r="375" ht="31.5" customHeight="1"/>
    <row r="376" ht="31.5" customHeight="1"/>
    <row r="377" ht="31.5" customHeight="1"/>
    <row r="378" ht="31.5" customHeight="1"/>
    <row r="379" ht="31.5" customHeight="1"/>
    <row r="380" ht="31.5" customHeight="1"/>
    <row r="381" ht="31.5" customHeight="1"/>
    <row r="382" ht="31.5" customHeight="1"/>
    <row r="383" ht="31.5" customHeight="1"/>
    <row r="384" ht="31.5" customHeight="1"/>
    <row r="385" ht="31.5" customHeight="1"/>
    <row r="386" ht="31.5" customHeight="1"/>
    <row r="387" ht="31.5" customHeight="1"/>
    <row r="388" ht="31.5" customHeight="1"/>
    <row r="389" ht="31.5" customHeight="1"/>
    <row r="390" ht="31.5" customHeight="1"/>
    <row r="391" ht="31.5" customHeight="1"/>
    <row r="392" ht="31.5" customHeight="1"/>
    <row r="393" ht="31.5" customHeight="1"/>
    <row r="394" ht="31.5" customHeight="1"/>
    <row r="395" ht="31.5" customHeight="1"/>
    <row r="396" ht="31.5" customHeight="1"/>
    <row r="397" ht="31.5" customHeight="1"/>
    <row r="398" ht="31.5" customHeight="1"/>
    <row r="399" ht="31.5" customHeight="1"/>
    <row r="400" ht="31.5" customHeight="1"/>
    <row r="401" ht="31.5" customHeight="1"/>
    <row r="402" ht="31.5" customHeight="1"/>
    <row r="403" ht="31.5" customHeight="1"/>
    <row r="404" ht="31.5" customHeight="1"/>
    <row r="405" ht="31.5" customHeight="1"/>
    <row r="406" ht="31.5" customHeight="1"/>
    <row r="407" ht="31.5" customHeight="1"/>
    <row r="408" ht="31.5" customHeight="1"/>
    <row r="409" ht="31.5" customHeight="1"/>
    <row r="410" ht="31.5" customHeight="1"/>
    <row r="411" ht="31.5" customHeight="1"/>
    <row r="412" ht="31.5" customHeight="1"/>
    <row r="413" ht="31.5" customHeight="1"/>
    <row r="414" ht="31.5" customHeight="1"/>
    <row r="415" ht="31.5" customHeight="1"/>
    <row r="416" ht="31.5" customHeight="1"/>
    <row r="417" ht="31.5" customHeight="1"/>
    <row r="418" ht="31.5" customHeight="1"/>
    <row r="419" ht="31.5" customHeight="1"/>
    <row r="420" ht="31.5" customHeight="1"/>
    <row r="421" ht="31.5" customHeight="1"/>
    <row r="422" ht="31.5" customHeight="1"/>
    <row r="423" ht="31.5" customHeight="1"/>
    <row r="424" ht="31.5" customHeight="1"/>
    <row r="425" ht="31.5" customHeight="1"/>
    <row r="426" ht="31.5" customHeight="1"/>
    <row r="427" ht="31.5" customHeight="1"/>
    <row r="428" ht="31.5" customHeight="1"/>
    <row r="429" ht="31.5" customHeight="1"/>
    <row r="430" ht="31.5" customHeight="1"/>
    <row r="431" ht="31.5" customHeight="1"/>
    <row r="432" ht="31.5" customHeight="1"/>
    <row r="433" ht="31.5" customHeight="1"/>
    <row r="434" ht="31.5" customHeight="1"/>
    <row r="435" ht="31.5" customHeight="1"/>
    <row r="436" ht="31.5" customHeight="1"/>
    <row r="437" ht="31.5" customHeight="1"/>
    <row r="438" ht="31.5" customHeight="1"/>
    <row r="439" ht="31.5" customHeight="1"/>
    <row r="440" ht="31.5" customHeight="1"/>
    <row r="441" ht="31.5" customHeight="1"/>
    <row r="442" ht="31.5" customHeight="1"/>
    <row r="443" ht="31.5" customHeight="1"/>
    <row r="444" ht="31.5" customHeight="1"/>
    <row r="445" ht="31.5" customHeight="1"/>
    <row r="446" ht="31.5" customHeight="1"/>
    <row r="447" ht="31.5" customHeight="1"/>
    <row r="448" ht="31.5" customHeight="1"/>
    <row r="449" ht="31.5" customHeight="1"/>
    <row r="450" ht="31.5" customHeight="1"/>
    <row r="451" ht="31.5" customHeight="1"/>
    <row r="452" ht="31.5" customHeight="1"/>
    <row r="453" ht="31.5" customHeight="1"/>
    <row r="454" ht="31.5" customHeight="1"/>
    <row r="455" ht="31.5" customHeight="1"/>
    <row r="456" ht="31.5" customHeight="1"/>
    <row r="457" ht="31.5" customHeight="1"/>
    <row r="458" ht="31.5" customHeight="1"/>
    <row r="459" ht="31.5" customHeight="1"/>
    <row r="460" ht="31.5" customHeight="1"/>
    <row r="461" ht="31.5" customHeight="1"/>
    <row r="462" ht="31.5" customHeight="1"/>
    <row r="463" ht="31.5" customHeight="1"/>
    <row r="464" ht="31.5" customHeight="1"/>
    <row r="465" ht="31.5" customHeight="1"/>
    <row r="466" ht="31.5" customHeight="1"/>
    <row r="467" ht="31.5" customHeight="1"/>
    <row r="468" ht="31.5" customHeight="1"/>
    <row r="469" ht="31.5" customHeight="1"/>
    <row r="470" ht="31.5" customHeight="1"/>
    <row r="471" ht="31.5" customHeight="1"/>
    <row r="472" ht="31.5" customHeight="1"/>
    <row r="473" ht="31.5" customHeight="1"/>
    <row r="474" ht="31.5" customHeight="1"/>
    <row r="475" ht="31.5" customHeight="1"/>
    <row r="476" ht="31.5" customHeight="1"/>
    <row r="477" ht="31.5" customHeight="1"/>
    <row r="478" ht="31.5" customHeight="1"/>
    <row r="479" ht="31.5" customHeight="1"/>
    <row r="480" ht="31.5" customHeight="1"/>
    <row r="481" ht="31.5" customHeight="1"/>
    <row r="482" ht="31.5" customHeight="1"/>
    <row r="483" ht="31.5" customHeight="1"/>
    <row r="484" ht="31.5" customHeight="1"/>
    <row r="485" ht="31.5" customHeight="1"/>
    <row r="486" ht="31.5" customHeight="1"/>
    <row r="487" ht="31.5" customHeight="1"/>
    <row r="488" ht="31.5" customHeight="1"/>
    <row r="489" ht="31.5" customHeight="1"/>
    <row r="490" ht="31.5" customHeight="1"/>
    <row r="491" ht="31.5" customHeight="1"/>
    <row r="492" ht="31.5" customHeight="1"/>
    <row r="493" ht="31.5" customHeight="1"/>
    <row r="494" ht="31.5" customHeight="1"/>
    <row r="495" ht="31.5" customHeight="1"/>
    <row r="496" ht="31.5" customHeight="1"/>
    <row r="497" ht="31.5" customHeight="1"/>
    <row r="498" ht="31.5" customHeight="1"/>
    <row r="499" ht="31.5" customHeight="1"/>
    <row r="500" ht="31.5" customHeight="1"/>
    <row r="501" ht="31.5" customHeight="1"/>
    <row r="502" ht="31.5" customHeight="1"/>
    <row r="503" ht="31.5" customHeight="1"/>
    <row r="504" ht="31.5" customHeight="1"/>
    <row r="505" ht="31.5" customHeight="1"/>
    <row r="506" ht="31.5" customHeight="1"/>
    <row r="507" ht="31.5" customHeight="1"/>
    <row r="508" ht="31.5" customHeight="1"/>
    <row r="509" ht="31.5" customHeight="1"/>
    <row r="510" ht="31.5" customHeight="1"/>
    <row r="511" ht="31.5" customHeight="1"/>
    <row r="512" ht="31.5" customHeight="1"/>
    <row r="513" ht="31.5" customHeight="1"/>
    <row r="514" ht="31.5" customHeight="1"/>
    <row r="515" ht="31.5" customHeight="1"/>
    <row r="516" ht="31.5" customHeight="1"/>
    <row r="517" ht="31.5" customHeight="1"/>
    <row r="518" ht="31.5" customHeight="1"/>
    <row r="519" ht="31.5" customHeight="1"/>
    <row r="520" ht="31.5" customHeight="1"/>
    <row r="521" ht="31.5" customHeight="1"/>
    <row r="522" ht="31.5" customHeight="1"/>
    <row r="523" ht="31.5" customHeight="1"/>
    <row r="524" ht="31.5" customHeight="1"/>
    <row r="525" ht="31.5" customHeight="1"/>
    <row r="526" ht="31.5" customHeight="1"/>
    <row r="527" ht="31.5" customHeight="1"/>
    <row r="528" ht="31.5" customHeight="1"/>
    <row r="529" ht="31.5" customHeight="1"/>
    <row r="530" ht="31.5" customHeight="1"/>
    <row r="531" ht="31.5" customHeight="1"/>
    <row r="532" ht="31.5" customHeight="1"/>
    <row r="533" ht="31.5" customHeight="1"/>
    <row r="534" ht="31.5" customHeight="1"/>
    <row r="535" ht="31.5" customHeight="1"/>
    <row r="536" ht="31.5" customHeight="1"/>
    <row r="537" ht="31.5" customHeight="1"/>
    <row r="538" ht="31.5" customHeight="1"/>
    <row r="539" ht="31.5" customHeight="1"/>
    <row r="540" ht="31.5" customHeight="1"/>
    <row r="541" ht="31.5" customHeight="1"/>
    <row r="542" ht="31.5" customHeight="1"/>
    <row r="543" ht="31.5" customHeight="1"/>
    <row r="544" ht="31.5" customHeight="1"/>
    <row r="545" ht="31.5" customHeight="1"/>
    <row r="546" ht="31.5" customHeight="1"/>
    <row r="547" ht="31.5" customHeight="1"/>
    <row r="548" ht="31.5" customHeight="1"/>
    <row r="549" ht="31.5" customHeight="1"/>
    <row r="550" ht="31.5" customHeight="1"/>
    <row r="551" ht="31.5" customHeight="1"/>
    <row r="552" ht="31.5" customHeight="1"/>
    <row r="553" ht="31.5" customHeight="1"/>
    <row r="554" ht="31.5" customHeight="1"/>
    <row r="555" ht="31.5" customHeight="1"/>
    <row r="556" ht="31.5" customHeight="1"/>
    <row r="557" ht="31.5" customHeight="1"/>
    <row r="558" ht="31.5" customHeight="1"/>
    <row r="559" ht="31.5" customHeight="1"/>
    <row r="560" ht="31.5" customHeight="1"/>
    <row r="561" ht="31.5" customHeight="1"/>
    <row r="562" ht="31.5" customHeight="1"/>
    <row r="563" ht="31.5" customHeight="1"/>
    <row r="564" ht="31.5" customHeight="1"/>
    <row r="565" ht="31.5" customHeight="1"/>
    <row r="566" ht="31.5" customHeight="1"/>
    <row r="567" ht="31.5" customHeight="1"/>
    <row r="568" ht="31.5" customHeight="1"/>
    <row r="569" ht="31.5" customHeight="1"/>
    <row r="570" ht="31.5" customHeight="1"/>
    <row r="571" ht="31.5" customHeight="1"/>
    <row r="572" ht="31.5" customHeight="1"/>
    <row r="573" ht="31.5" customHeight="1"/>
    <row r="574" ht="31.5" customHeight="1"/>
    <row r="575" ht="31.5" customHeight="1"/>
    <row r="576" ht="31.5" customHeight="1"/>
    <row r="577" ht="31.5" customHeight="1"/>
    <row r="578" ht="31.5" customHeight="1"/>
    <row r="579" ht="31.5" customHeight="1"/>
    <row r="580" ht="31.5" customHeight="1"/>
    <row r="581" ht="31.5" customHeight="1"/>
    <row r="582" ht="31.5" customHeight="1"/>
    <row r="583" ht="31.5" customHeight="1"/>
    <row r="584" ht="31.5" customHeight="1"/>
    <row r="585" ht="31.5" customHeight="1"/>
    <row r="586" ht="31.5" customHeight="1"/>
    <row r="587" ht="31.5" customHeight="1"/>
    <row r="588" ht="31.5" customHeight="1"/>
    <row r="589" ht="31.5" customHeight="1"/>
    <row r="590" ht="31.5" customHeight="1"/>
    <row r="591" ht="31.5" customHeight="1"/>
    <row r="592" ht="31.5" customHeight="1"/>
    <row r="593" ht="31.5" customHeight="1"/>
    <row r="594" ht="31.5" customHeight="1"/>
    <row r="595" ht="31.5" customHeight="1"/>
    <row r="596" ht="31.5" customHeight="1"/>
    <row r="597" ht="31.5" customHeight="1"/>
    <row r="598" ht="31.5" customHeight="1"/>
    <row r="599" ht="31.5" customHeight="1"/>
    <row r="600" ht="31.5" customHeight="1"/>
    <row r="601" ht="31.5" customHeight="1"/>
    <row r="602" ht="31.5" customHeight="1"/>
    <row r="603" ht="31.5" customHeight="1"/>
    <row r="604" ht="31.5" customHeight="1"/>
    <row r="605" ht="31.5" customHeight="1"/>
    <row r="606" ht="31.5" customHeight="1"/>
    <row r="607" ht="31.5" customHeight="1"/>
    <row r="608" ht="31.5" customHeight="1"/>
    <row r="609" ht="31.5" customHeight="1"/>
    <row r="610" ht="31.5" customHeight="1"/>
    <row r="611" ht="31.5" customHeight="1"/>
    <row r="612" ht="31.5" customHeight="1"/>
    <row r="613" ht="31.5" customHeight="1"/>
    <row r="614" ht="31.5" customHeight="1"/>
    <row r="615" ht="31.5" customHeight="1"/>
    <row r="616" ht="31.5" customHeight="1"/>
    <row r="617" ht="31.5" customHeight="1"/>
    <row r="618" ht="31.5" customHeight="1"/>
    <row r="619" ht="31.5" customHeight="1"/>
    <row r="620" ht="31.5" customHeight="1"/>
    <row r="621" ht="31.5" customHeight="1"/>
    <row r="622" ht="31.5" customHeight="1"/>
    <row r="623" ht="31.5" customHeight="1"/>
    <row r="624" ht="31.5" customHeight="1"/>
    <row r="625" ht="31.5" customHeight="1"/>
    <row r="626" ht="31.5" customHeight="1"/>
    <row r="627" ht="31.5" customHeight="1"/>
    <row r="628" ht="31.5" customHeight="1"/>
    <row r="629" ht="31.5" customHeight="1"/>
    <row r="630" ht="31.5" customHeight="1"/>
    <row r="631" ht="31.5" customHeight="1"/>
    <row r="632" ht="31.5" customHeight="1"/>
    <row r="633" ht="31.5" customHeight="1"/>
    <row r="634" ht="31.5" customHeight="1"/>
    <row r="635" ht="31.5" customHeight="1"/>
    <row r="636" ht="31.5" customHeight="1"/>
    <row r="637" ht="31.5" customHeight="1"/>
    <row r="638" ht="31.5" customHeight="1"/>
    <row r="639" ht="31.5" customHeight="1"/>
    <row r="640" ht="31.5" customHeight="1"/>
    <row r="641" ht="31.5" customHeight="1"/>
    <row r="642" ht="31.5" customHeight="1"/>
    <row r="643" ht="31.5" customHeight="1"/>
    <row r="644" ht="31.5" customHeight="1"/>
    <row r="645" ht="31.5" customHeight="1"/>
    <row r="646" ht="31.5" customHeight="1"/>
    <row r="647" ht="31.5" customHeight="1"/>
    <row r="648" ht="31.5" customHeight="1"/>
    <row r="649" ht="31.5" customHeight="1"/>
    <row r="650" ht="31.5" customHeight="1"/>
    <row r="651" ht="31.5" customHeight="1"/>
    <row r="652" ht="31.5" customHeight="1"/>
    <row r="653" ht="31.5" customHeight="1"/>
    <row r="654" ht="31.5" customHeight="1"/>
    <row r="655" ht="31.5" customHeight="1"/>
    <row r="656" ht="31.5" customHeight="1"/>
    <row r="657" ht="31.5" customHeight="1"/>
    <row r="658" ht="31.5" customHeight="1"/>
    <row r="659" ht="31.5" customHeight="1"/>
    <row r="660" ht="31.5" customHeight="1"/>
    <row r="661" ht="31.5" customHeight="1"/>
    <row r="662" ht="31.5" customHeight="1"/>
    <row r="663" ht="31.5" customHeight="1"/>
    <row r="664" ht="31.5" customHeight="1"/>
    <row r="665" ht="31.5" customHeight="1"/>
    <row r="666" ht="31.5" customHeight="1"/>
    <row r="667" ht="31.5" customHeight="1"/>
    <row r="668" ht="31.5" customHeight="1"/>
    <row r="669" ht="31.5" customHeight="1"/>
    <row r="670" ht="31.5" customHeight="1"/>
    <row r="671" ht="31.5" customHeight="1"/>
    <row r="672" ht="31.5" customHeight="1"/>
    <row r="673" ht="31.5" customHeight="1"/>
    <row r="674" ht="31.5" customHeight="1"/>
    <row r="675" ht="31.5" customHeight="1"/>
    <row r="676" ht="31.5" customHeight="1"/>
    <row r="677" ht="31.5" customHeight="1"/>
    <row r="678" ht="31.5" customHeight="1"/>
    <row r="679" ht="31.5" customHeight="1"/>
    <row r="680" ht="31.5" customHeight="1"/>
    <row r="681" ht="31.5" customHeight="1"/>
    <row r="682" ht="31.5" customHeight="1"/>
    <row r="683" ht="31.5" customHeight="1"/>
    <row r="684" ht="31.5" customHeight="1"/>
    <row r="685" ht="31.5" customHeight="1"/>
    <row r="686" ht="31.5" customHeight="1"/>
    <row r="687" ht="31.5" customHeight="1"/>
    <row r="688" ht="31.5" customHeight="1"/>
    <row r="689" ht="31.5" customHeight="1"/>
    <row r="690" ht="31.5" customHeight="1"/>
    <row r="691" ht="31.5" customHeight="1"/>
    <row r="692" ht="31.5" customHeight="1"/>
    <row r="693" ht="31.5" customHeight="1"/>
    <row r="694" ht="31.5" customHeight="1"/>
    <row r="695" ht="31.5" customHeight="1"/>
    <row r="696" ht="31.5" customHeight="1"/>
    <row r="697" ht="31.5" customHeight="1"/>
    <row r="698" ht="31.5" customHeight="1"/>
    <row r="699" ht="31.5" customHeight="1"/>
    <row r="700" ht="31.5" customHeight="1"/>
    <row r="701" ht="31.5" customHeight="1"/>
    <row r="702" ht="31.5" customHeight="1"/>
    <row r="703" ht="31.5" customHeight="1"/>
    <row r="704" ht="31.5" customHeight="1"/>
    <row r="705" ht="31.5" customHeight="1"/>
    <row r="706" ht="31.5" customHeight="1"/>
    <row r="707" ht="31.5" customHeight="1"/>
    <row r="708" ht="31.5" customHeight="1"/>
    <row r="709" ht="31.5" customHeight="1"/>
    <row r="710" ht="31.5" customHeight="1"/>
    <row r="711" ht="31.5" customHeight="1"/>
    <row r="712" ht="31.5" customHeight="1"/>
    <row r="713" ht="31.5" customHeight="1"/>
    <row r="714" ht="31.5" customHeight="1"/>
    <row r="715" ht="31.5" customHeight="1"/>
    <row r="716" ht="31.5" customHeight="1"/>
    <row r="717" ht="31.5" customHeight="1"/>
    <row r="718" ht="31.5" customHeight="1"/>
    <row r="719" ht="31.5" customHeight="1"/>
    <row r="720" ht="31.5" customHeight="1"/>
    <row r="721" ht="31.5" customHeight="1"/>
    <row r="722" ht="31.5" customHeight="1"/>
    <row r="723" ht="31.5" customHeight="1"/>
    <row r="724" ht="31.5" customHeight="1"/>
    <row r="725" ht="31.5" customHeight="1"/>
    <row r="726" ht="31.5" customHeight="1"/>
    <row r="727" ht="31.5" customHeight="1"/>
    <row r="728" ht="31.5" customHeight="1"/>
    <row r="729" ht="31.5" customHeight="1"/>
    <row r="730" ht="31.5" customHeight="1"/>
    <row r="731" ht="31.5" customHeight="1"/>
    <row r="732" ht="31.5" customHeight="1"/>
    <row r="733" ht="31.5" customHeight="1"/>
    <row r="734" ht="31.5" customHeight="1"/>
    <row r="735" ht="31.5" customHeight="1"/>
    <row r="736" ht="31.5" customHeight="1"/>
    <row r="737" ht="31.5" customHeight="1"/>
    <row r="738" ht="31.5" customHeight="1"/>
    <row r="739" ht="31.5" customHeight="1"/>
    <row r="740" ht="31.5" customHeight="1"/>
    <row r="741" ht="31.5" customHeight="1"/>
    <row r="742" ht="31.5" customHeight="1"/>
    <row r="743" ht="31.5" customHeight="1"/>
    <row r="744" ht="31.5" customHeight="1"/>
    <row r="745" ht="31.5" customHeight="1"/>
    <row r="746" ht="31.5" customHeight="1"/>
    <row r="747" ht="31.5" customHeight="1"/>
    <row r="748" ht="31.5" customHeight="1"/>
    <row r="749" ht="31.5" customHeight="1"/>
    <row r="750" ht="31.5" customHeight="1"/>
    <row r="751" ht="31.5" customHeight="1"/>
    <row r="752" ht="31.5" customHeight="1"/>
    <row r="753" ht="31.5" customHeight="1"/>
    <row r="754" ht="31.5" customHeight="1"/>
    <row r="755" ht="31.5" customHeight="1"/>
    <row r="756" ht="31.5" customHeight="1"/>
    <row r="757" ht="31.5" customHeight="1"/>
    <row r="758" ht="31.5" customHeight="1"/>
    <row r="759" ht="31.5" customHeight="1"/>
    <row r="760" ht="31.5" customHeight="1"/>
    <row r="761" ht="31.5" customHeight="1"/>
    <row r="762" ht="31.5" customHeight="1"/>
    <row r="763" ht="31.5" customHeight="1"/>
    <row r="764" ht="31.5" customHeight="1"/>
    <row r="765" ht="31.5" customHeight="1"/>
    <row r="766" ht="31.5" customHeight="1"/>
    <row r="767" ht="31.5" customHeight="1"/>
    <row r="768" ht="31.5" customHeight="1"/>
    <row r="769" ht="31.5" customHeight="1"/>
    <row r="770" ht="31.5" customHeight="1"/>
    <row r="771" ht="31.5" customHeight="1"/>
    <row r="772" ht="31.5" customHeight="1"/>
    <row r="773" ht="31.5" customHeight="1"/>
    <row r="774" ht="31.5" customHeight="1"/>
    <row r="775" ht="31.5" customHeight="1"/>
    <row r="776" ht="31.5" customHeight="1"/>
    <row r="777" ht="31.5" customHeight="1"/>
    <row r="778" ht="31.5" customHeight="1"/>
    <row r="779" ht="31.5" customHeight="1"/>
    <row r="780" ht="31.5" customHeight="1"/>
    <row r="781" ht="31.5" customHeight="1"/>
    <row r="782" ht="31.5" customHeight="1"/>
    <row r="783" ht="31.5" customHeight="1"/>
    <row r="784" ht="31.5" customHeight="1"/>
    <row r="785" ht="31.5" customHeight="1"/>
    <row r="786" ht="31.5" customHeight="1"/>
    <row r="787" ht="31.5" customHeight="1"/>
    <row r="788" ht="31.5" customHeight="1"/>
    <row r="789" ht="31.5" customHeight="1"/>
    <row r="790" ht="31.5" customHeight="1"/>
    <row r="791" ht="31.5" customHeight="1"/>
    <row r="792" ht="31.5" customHeight="1"/>
    <row r="793" ht="31.5" customHeight="1"/>
    <row r="794" ht="31.5" customHeight="1"/>
    <row r="795" ht="31.5" customHeight="1"/>
    <row r="796" ht="31.5" customHeight="1"/>
    <row r="797" ht="31.5" customHeight="1"/>
    <row r="798" ht="31.5" customHeight="1"/>
    <row r="799" ht="31.5" customHeight="1"/>
    <row r="800" ht="31.5" customHeight="1"/>
    <row r="801" ht="31.5" customHeight="1"/>
    <row r="802" ht="31.5" customHeight="1"/>
    <row r="803" ht="31.5" customHeight="1"/>
    <row r="804" ht="31.5" customHeight="1"/>
    <row r="805" ht="31.5" customHeight="1"/>
    <row r="806" ht="31.5" customHeight="1"/>
    <row r="807" ht="31.5" customHeight="1"/>
    <row r="808" ht="31.5" customHeight="1"/>
    <row r="809" ht="31.5" customHeight="1"/>
    <row r="810" ht="31.5" customHeight="1"/>
    <row r="811" ht="31.5" customHeight="1"/>
    <row r="812" ht="31.5" customHeight="1"/>
    <row r="813" ht="31.5" customHeight="1"/>
    <row r="814" ht="31.5" customHeight="1"/>
    <row r="815" ht="31.5" customHeight="1"/>
    <row r="816" ht="31.5" customHeight="1"/>
    <row r="817" ht="31.5" customHeight="1"/>
    <row r="818" ht="31.5" customHeight="1"/>
    <row r="819" ht="31.5" customHeight="1"/>
    <row r="820" ht="31.5" customHeight="1"/>
    <row r="821" ht="31.5" customHeight="1"/>
    <row r="822" ht="31.5" customHeight="1"/>
    <row r="823" ht="31.5" customHeight="1"/>
    <row r="824" ht="31.5" customHeight="1"/>
    <row r="825" ht="31.5" customHeight="1"/>
    <row r="826" ht="31.5" customHeight="1"/>
    <row r="827" ht="31.5" customHeight="1"/>
    <row r="828" ht="31.5" customHeight="1"/>
    <row r="829" ht="31.5" customHeight="1"/>
    <row r="830" ht="31.5" customHeight="1"/>
    <row r="831" ht="31.5" customHeight="1"/>
    <row r="832" ht="31.5" customHeight="1"/>
    <row r="833" ht="31.5" customHeight="1"/>
    <row r="834" ht="31.5" customHeight="1"/>
    <row r="835" ht="31.5" customHeight="1"/>
    <row r="836" ht="31.5" customHeight="1"/>
    <row r="837" ht="31.5" customHeight="1"/>
    <row r="838" ht="31.5" customHeight="1"/>
    <row r="839" ht="31.5" customHeight="1"/>
    <row r="840" ht="31.5" customHeight="1"/>
    <row r="841" ht="31.5" customHeight="1"/>
    <row r="842" ht="31.5" customHeight="1"/>
    <row r="843" ht="31.5" customHeight="1"/>
    <row r="844" ht="31.5" customHeight="1"/>
    <row r="845" ht="31.5" customHeight="1"/>
    <row r="846" ht="31.5" customHeight="1"/>
    <row r="847" ht="31.5" customHeight="1"/>
    <row r="848" ht="31.5" customHeight="1"/>
    <row r="849" ht="31.5" customHeight="1"/>
    <row r="850" ht="31.5" customHeight="1"/>
    <row r="851" ht="31.5" customHeight="1"/>
    <row r="852" ht="31.5" customHeight="1"/>
    <row r="853" ht="31.5" customHeight="1"/>
    <row r="854" ht="31.5" customHeight="1"/>
    <row r="855" ht="31.5" customHeight="1"/>
    <row r="856" ht="31.5" customHeight="1"/>
    <row r="857" ht="31.5" customHeight="1"/>
    <row r="858" ht="31.5" customHeight="1"/>
    <row r="859" ht="31.5" customHeight="1"/>
    <row r="860" ht="31.5" customHeight="1"/>
    <row r="861" ht="31.5" customHeight="1"/>
    <row r="862" ht="31.5" customHeight="1"/>
    <row r="863" ht="31.5" customHeight="1"/>
    <row r="864" ht="31.5" customHeight="1"/>
    <row r="865" ht="31.5" customHeight="1"/>
    <row r="866" ht="31.5" customHeight="1"/>
    <row r="867" ht="31.5" customHeight="1"/>
    <row r="868" ht="31.5" customHeight="1"/>
    <row r="869" ht="31.5" customHeight="1"/>
    <row r="870" ht="31.5" customHeight="1"/>
    <row r="871" ht="31.5" customHeight="1"/>
    <row r="872" ht="31.5" customHeight="1"/>
    <row r="873" ht="31.5" customHeight="1"/>
    <row r="874" ht="31.5" customHeight="1"/>
    <row r="875" ht="31.5" customHeight="1"/>
    <row r="876" ht="31.5" customHeight="1"/>
    <row r="877" ht="31.5" customHeight="1"/>
    <row r="878" ht="31.5" customHeight="1"/>
    <row r="879" ht="31.5" customHeight="1"/>
    <row r="880" ht="31.5" customHeight="1"/>
    <row r="881" ht="31.5" customHeight="1"/>
    <row r="882" ht="31.5" customHeight="1"/>
    <row r="883" ht="31.5" customHeight="1"/>
    <row r="884" ht="31.5" customHeight="1"/>
    <row r="885" ht="31.5" customHeight="1"/>
    <row r="886" ht="31.5" customHeight="1"/>
    <row r="887" ht="31.5" customHeight="1"/>
    <row r="888" ht="31.5" customHeight="1"/>
    <row r="889" ht="31.5" customHeight="1"/>
    <row r="890" ht="31.5" customHeight="1"/>
    <row r="891" ht="31.5" customHeight="1"/>
    <row r="892" ht="31.5" customHeight="1"/>
    <row r="893" ht="31.5" customHeight="1"/>
    <row r="894" ht="31.5" customHeight="1"/>
    <row r="895" ht="31.5" customHeight="1"/>
    <row r="896" ht="31.5" customHeight="1"/>
    <row r="897" ht="31.5" customHeight="1"/>
    <row r="898" ht="31.5" customHeight="1"/>
    <row r="899" ht="31.5" customHeight="1"/>
    <row r="900" ht="31.5" customHeight="1"/>
    <row r="901" ht="31.5" customHeight="1"/>
    <row r="902" ht="31.5" customHeight="1"/>
    <row r="903" ht="31.5" customHeight="1"/>
    <row r="904" ht="31.5" customHeight="1"/>
    <row r="905" ht="31.5" customHeight="1"/>
    <row r="906" ht="31.5" customHeight="1"/>
    <row r="907" ht="31.5" customHeight="1"/>
    <row r="908" ht="31.5" customHeight="1"/>
    <row r="909" ht="31.5" customHeight="1"/>
    <row r="910" ht="31.5" customHeight="1"/>
    <row r="911" ht="31.5" customHeight="1"/>
    <row r="912" ht="31.5" customHeight="1"/>
    <row r="913" ht="31.5" customHeight="1"/>
    <row r="914" ht="31.5" customHeight="1"/>
    <row r="915" ht="31.5" customHeight="1"/>
    <row r="916" ht="31.5" customHeight="1"/>
    <row r="917" ht="31.5" customHeight="1"/>
    <row r="918" ht="31.5" customHeight="1"/>
    <row r="919" ht="31.5" customHeight="1"/>
    <row r="920" ht="31.5" customHeight="1"/>
    <row r="921" ht="31.5" customHeight="1"/>
    <row r="922" ht="31.5" customHeight="1"/>
    <row r="923" ht="31.5" customHeight="1"/>
    <row r="924" ht="31.5" customHeight="1"/>
    <row r="925" ht="31.5" customHeight="1"/>
    <row r="926" ht="31.5" customHeight="1"/>
    <row r="927" ht="31.5" customHeight="1"/>
    <row r="928" ht="31.5" customHeight="1"/>
    <row r="929" ht="31.5" customHeight="1"/>
    <row r="930" ht="31.5" customHeight="1"/>
    <row r="931" ht="31.5" customHeight="1"/>
    <row r="932" ht="31.5" customHeight="1"/>
    <row r="933" ht="31.5" customHeight="1"/>
    <row r="934" ht="31.5" customHeight="1"/>
    <row r="935" ht="31.5" customHeight="1"/>
    <row r="936" ht="31.5" customHeight="1"/>
    <row r="937" ht="31.5" customHeight="1"/>
    <row r="938" ht="31.5" customHeight="1"/>
    <row r="939" ht="31.5" customHeight="1"/>
    <row r="940" ht="31.5" customHeight="1"/>
    <row r="941" ht="31.5" customHeight="1"/>
    <row r="942" ht="31.5" customHeight="1"/>
    <row r="943" ht="31.5" customHeight="1"/>
    <row r="944" ht="31.5" customHeight="1"/>
    <row r="945" ht="31.5" customHeight="1"/>
    <row r="946" ht="31.5" customHeight="1"/>
    <row r="947" ht="31.5" customHeight="1"/>
    <row r="948" ht="31.5" customHeight="1"/>
    <row r="949" ht="31.5" customHeight="1"/>
    <row r="950" ht="31.5" customHeight="1"/>
    <row r="951" ht="31.5" customHeight="1"/>
    <row r="952" ht="31.5" customHeight="1"/>
    <row r="953" ht="31.5" customHeight="1"/>
    <row r="954" ht="31.5" customHeight="1"/>
    <row r="955" ht="31.5" customHeight="1"/>
    <row r="956" ht="31.5" customHeight="1"/>
    <row r="957" ht="31.5" customHeight="1"/>
    <row r="958" ht="31.5" customHeight="1"/>
    <row r="959" ht="31.5" customHeight="1"/>
    <row r="960" ht="31.5" customHeight="1"/>
    <row r="961" ht="31.5" customHeight="1"/>
    <row r="962" ht="31.5" customHeight="1"/>
    <row r="963" ht="31.5" customHeight="1"/>
    <row r="964" ht="31.5" customHeight="1"/>
    <row r="965" ht="31.5" customHeight="1"/>
    <row r="966" ht="31.5" customHeight="1"/>
    <row r="967" ht="31.5" customHeight="1"/>
    <row r="968" ht="31.5" customHeight="1"/>
    <row r="969" ht="31.5" customHeight="1"/>
    <row r="970" ht="31.5" customHeight="1"/>
    <row r="971" ht="31.5" customHeight="1"/>
    <row r="972" ht="31.5" customHeight="1"/>
    <row r="973" ht="31.5" customHeight="1"/>
    <row r="974" ht="31.5" customHeight="1"/>
    <row r="975" ht="31.5" customHeight="1"/>
    <row r="976" ht="31.5" customHeight="1"/>
    <row r="977" ht="31.5" customHeight="1"/>
    <row r="978" ht="31.5" customHeight="1"/>
    <row r="979" ht="31.5" customHeight="1"/>
    <row r="980" ht="31.5" customHeight="1"/>
    <row r="981" ht="31.5" customHeight="1"/>
    <row r="982" ht="31.5" customHeight="1"/>
    <row r="983" ht="31.5" customHeight="1"/>
    <row r="984" ht="31.5" customHeight="1"/>
    <row r="985" ht="31.5" customHeight="1"/>
    <row r="986" ht="31.5" customHeight="1"/>
    <row r="987" ht="31.5" customHeight="1"/>
    <row r="988" ht="31.5" customHeight="1"/>
    <row r="989" ht="31.5" customHeight="1"/>
    <row r="990" ht="31.5" customHeight="1"/>
    <row r="991" ht="31.5" customHeight="1"/>
    <row r="992" ht="31.5" customHeight="1"/>
    <row r="993" ht="31.5" customHeight="1"/>
    <row r="994" ht="31.5" customHeight="1"/>
    <row r="995" ht="31.5" customHeight="1"/>
    <row r="996" ht="31.5" customHeight="1"/>
    <row r="997" ht="31.5" customHeight="1"/>
    <row r="998" ht="31.5" customHeight="1"/>
  </sheetData>
  <mergeCells count="545">
    <mergeCell ref="G45:J45"/>
    <mergeCell ref="K45:N45"/>
    <mergeCell ref="O45:Q45"/>
    <mergeCell ref="R45:S45"/>
    <mergeCell ref="T45:U45"/>
    <mergeCell ref="V45:W45"/>
    <mergeCell ref="X45:Y45"/>
    <mergeCell ref="G46:J46"/>
    <mergeCell ref="K46:N46"/>
    <mergeCell ref="O46:Q46"/>
    <mergeCell ref="R46:S46"/>
    <mergeCell ref="T46:U46"/>
    <mergeCell ref="V46:W46"/>
    <mergeCell ref="X46:Y46"/>
    <mergeCell ref="R37:S37"/>
    <mergeCell ref="T37:U37"/>
    <mergeCell ref="R38:S38"/>
    <mergeCell ref="T38:U38"/>
    <mergeCell ref="R39:S39"/>
    <mergeCell ref="T39:U39"/>
    <mergeCell ref="V37:W37"/>
    <mergeCell ref="X37:Y37"/>
    <mergeCell ref="V38:W38"/>
    <mergeCell ref="X38:Y38"/>
    <mergeCell ref="V39:W39"/>
    <mergeCell ref="X39:Y39"/>
    <mergeCell ref="G36:J36"/>
    <mergeCell ref="K36:N36"/>
    <mergeCell ref="R36:S36"/>
    <mergeCell ref="T36:U36"/>
    <mergeCell ref="V36:W36"/>
    <mergeCell ref="X36:Y36"/>
    <mergeCell ref="G37:J37"/>
    <mergeCell ref="K37:N37"/>
    <mergeCell ref="O37:Q37"/>
    <mergeCell ref="G38:J38"/>
    <mergeCell ref="K38:N38"/>
    <mergeCell ref="O38:Q38"/>
    <mergeCell ref="K39:N39"/>
    <mergeCell ref="O39:Q39"/>
    <mergeCell ref="T42:U42"/>
    <mergeCell ref="V42:W42"/>
    <mergeCell ref="X42:Y42"/>
    <mergeCell ref="G39:J39"/>
    <mergeCell ref="G41:J41"/>
    <mergeCell ref="K41:W41"/>
    <mergeCell ref="G42:J42"/>
    <mergeCell ref="K42:N42"/>
    <mergeCell ref="O42:Q42"/>
    <mergeCell ref="R42:S42"/>
    <mergeCell ref="G47:J47"/>
    <mergeCell ref="K47:N47"/>
    <mergeCell ref="O47:Q47"/>
    <mergeCell ref="R47:S47"/>
    <mergeCell ref="T47:U47"/>
    <mergeCell ref="V47:W47"/>
    <mergeCell ref="X47:Y47"/>
    <mergeCell ref="G43:J43"/>
    <mergeCell ref="K43:N43"/>
    <mergeCell ref="O43:Q43"/>
    <mergeCell ref="R43:S43"/>
    <mergeCell ref="T43:U43"/>
    <mergeCell ref="V43:W43"/>
    <mergeCell ref="X43:Y43"/>
    <mergeCell ref="G44:J44"/>
    <mergeCell ref="K44:N44"/>
    <mergeCell ref="O44:Q44"/>
    <mergeCell ref="R44:S44"/>
    <mergeCell ref="T44:U44"/>
    <mergeCell ref="V44:W44"/>
    <mergeCell ref="X44:Y44"/>
    <mergeCell ref="G48:J48"/>
    <mergeCell ref="K48:N48"/>
    <mergeCell ref="O48:Q48"/>
    <mergeCell ref="R48:S48"/>
    <mergeCell ref="T48:U48"/>
    <mergeCell ref="V48:W48"/>
    <mergeCell ref="X48:Y48"/>
    <mergeCell ref="G49:J49"/>
    <mergeCell ref="K49:N49"/>
    <mergeCell ref="O49:Q49"/>
    <mergeCell ref="R49:S49"/>
    <mergeCell ref="T49:U49"/>
    <mergeCell ref="V49:W49"/>
    <mergeCell ref="X49:Y49"/>
    <mergeCell ref="V52:W52"/>
    <mergeCell ref="X52:Y52"/>
    <mergeCell ref="G51:J51"/>
    <mergeCell ref="K51:W51"/>
    <mergeCell ref="G52:J52"/>
    <mergeCell ref="K52:N52"/>
    <mergeCell ref="O52:Q52"/>
    <mergeCell ref="R52:S52"/>
    <mergeCell ref="T52:U52"/>
    <mergeCell ref="R54:S54"/>
    <mergeCell ref="T54:U54"/>
    <mergeCell ref="X54:Y54"/>
    <mergeCell ref="G53:J53"/>
    <mergeCell ref="K53:N53"/>
    <mergeCell ref="O53:Q53"/>
    <mergeCell ref="R53:S53"/>
    <mergeCell ref="T53:U53"/>
    <mergeCell ref="V53:W53"/>
    <mergeCell ref="G54:J54"/>
    <mergeCell ref="V54:W54"/>
    <mergeCell ref="V55:W55"/>
    <mergeCell ref="X55:Y55"/>
    <mergeCell ref="K54:N54"/>
    <mergeCell ref="O54:Q54"/>
    <mergeCell ref="G55:J55"/>
    <mergeCell ref="K55:N55"/>
    <mergeCell ref="O55:Q55"/>
    <mergeCell ref="R55:S55"/>
    <mergeCell ref="T55:U55"/>
    <mergeCell ref="G56:J56"/>
    <mergeCell ref="K56:N56"/>
    <mergeCell ref="O56:Q56"/>
    <mergeCell ref="R56:S56"/>
    <mergeCell ref="T56:U56"/>
    <mergeCell ref="V56:W56"/>
    <mergeCell ref="X56:Y56"/>
    <mergeCell ref="G57:J57"/>
    <mergeCell ref="K57:N57"/>
    <mergeCell ref="O57:Q57"/>
    <mergeCell ref="R57:S57"/>
    <mergeCell ref="T57:U57"/>
    <mergeCell ref="V57:W57"/>
    <mergeCell ref="X57:Y57"/>
    <mergeCell ref="G58:J58"/>
    <mergeCell ref="K58:N58"/>
    <mergeCell ref="O58:Q58"/>
    <mergeCell ref="R58:S58"/>
    <mergeCell ref="T58:U58"/>
    <mergeCell ref="V58:W58"/>
    <mergeCell ref="X58:Y58"/>
    <mergeCell ref="G59:J59"/>
    <mergeCell ref="K59:N59"/>
    <mergeCell ref="O59:Q59"/>
    <mergeCell ref="R59:S59"/>
    <mergeCell ref="T59:U59"/>
    <mergeCell ref="V59:W59"/>
    <mergeCell ref="X59:Y59"/>
    <mergeCell ref="G68:J68"/>
    <mergeCell ref="K68:N68"/>
    <mergeCell ref="O68:Q68"/>
    <mergeCell ref="R68:S68"/>
    <mergeCell ref="T68:U68"/>
    <mergeCell ref="V68:W68"/>
    <mergeCell ref="X68:Y68"/>
    <mergeCell ref="G69:J69"/>
    <mergeCell ref="K69:N69"/>
    <mergeCell ref="O69:Q69"/>
    <mergeCell ref="R69:S69"/>
    <mergeCell ref="T69:U69"/>
    <mergeCell ref="V69:W69"/>
    <mergeCell ref="X69:Y69"/>
    <mergeCell ref="V63:W63"/>
    <mergeCell ref="X63:Y63"/>
    <mergeCell ref="G62:J62"/>
    <mergeCell ref="K62:W62"/>
    <mergeCell ref="G63:J63"/>
    <mergeCell ref="K63:N63"/>
    <mergeCell ref="O63:Q63"/>
    <mergeCell ref="R63:S63"/>
    <mergeCell ref="T63:U63"/>
    <mergeCell ref="O64:Q64"/>
    <mergeCell ref="O65:Q65"/>
    <mergeCell ref="R65:S65"/>
    <mergeCell ref="T65:U65"/>
    <mergeCell ref="V65:W65"/>
    <mergeCell ref="X65:Y65"/>
    <mergeCell ref="G64:J64"/>
    <mergeCell ref="K64:N64"/>
    <mergeCell ref="R64:S64"/>
    <mergeCell ref="T64:U64"/>
    <mergeCell ref="V64:W64"/>
    <mergeCell ref="X64:Y64"/>
    <mergeCell ref="G65:J65"/>
    <mergeCell ref="G70:J70"/>
    <mergeCell ref="K70:N70"/>
    <mergeCell ref="O70:Q70"/>
    <mergeCell ref="R70:S70"/>
    <mergeCell ref="T70:U70"/>
    <mergeCell ref="V70:W70"/>
    <mergeCell ref="X70:Y70"/>
    <mergeCell ref="G79:J79"/>
    <mergeCell ref="K79:N79"/>
    <mergeCell ref="O79:Q79"/>
    <mergeCell ref="R79:S79"/>
    <mergeCell ref="T79:U79"/>
    <mergeCell ref="V79:W79"/>
    <mergeCell ref="X79:Y79"/>
    <mergeCell ref="G80:J80"/>
    <mergeCell ref="K80:N80"/>
    <mergeCell ref="O80:Q80"/>
    <mergeCell ref="R80:S80"/>
    <mergeCell ref="T80:U80"/>
    <mergeCell ref="V80:W80"/>
    <mergeCell ref="X80:Y80"/>
    <mergeCell ref="G66:J66"/>
    <mergeCell ref="K66:N66"/>
    <mergeCell ref="O66:Q66"/>
    <mergeCell ref="R66:S66"/>
    <mergeCell ref="T66:U66"/>
    <mergeCell ref="V66:W66"/>
    <mergeCell ref="X66:Y66"/>
    <mergeCell ref="G67:J67"/>
    <mergeCell ref="K67:N67"/>
    <mergeCell ref="O67:Q67"/>
    <mergeCell ref="R67:S67"/>
    <mergeCell ref="T67:U67"/>
    <mergeCell ref="V67:W67"/>
    <mergeCell ref="X67:Y67"/>
    <mergeCell ref="V74:W74"/>
    <mergeCell ref="X74:Y74"/>
    <mergeCell ref="G73:J73"/>
    <mergeCell ref="K73:W73"/>
    <mergeCell ref="G74:J74"/>
    <mergeCell ref="K74:N74"/>
    <mergeCell ref="O74:Q74"/>
    <mergeCell ref="R74:S74"/>
    <mergeCell ref="T74:U74"/>
    <mergeCell ref="G75:J75"/>
    <mergeCell ref="K75:N75"/>
    <mergeCell ref="O75:Q75"/>
    <mergeCell ref="R75:S75"/>
    <mergeCell ref="T75:U75"/>
    <mergeCell ref="V75:W75"/>
    <mergeCell ref="X75:Y75"/>
    <mergeCell ref="G76:J76"/>
    <mergeCell ref="K76:N76"/>
    <mergeCell ref="O76:Q76"/>
    <mergeCell ref="R76:S76"/>
    <mergeCell ref="T76:U76"/>
    <mergeCell ref="V76:W76"/>
    <mergeCell ref="X76:Y76"/>
    <mergeCell ref="G81:J81"/>
    <mergeCell ref="K81:N81"/>
    <mergeCell ref="O81:Q81"/>
    <mergeCell ref="R81:S81"/>
    <mergeCell ref="T81:U81"/>
    <mergeCell ref="V81:W81"/>
    <mergeCell ref="X81:Y81"/>
    <mergeCell ref="G88:J88"/>
    <mergeCell ref="K88:N88"/>
    <mergeCell ref="O88:Q88"/>
    <mergeCell ref="R88:S88"/>
    <mergeCell ref="T88:U88"/>
    <mergeCell ref="V88:W88"/>
    <mergeCell ref="G89:J89"/>
    <mergeCell ref="K89:N89"/>
    <mergeCell ref="O89:Q89"/>
    <mergeCell ref="R89:S89"/>
    <mergeCell ref="T89:U89"/>
    <mergeCell ref="V89:W89"/>
    <mergeCell ref="X89:Y89"/>
    <mergeCell ref="G77:J77"/>
    <mergeCell ref="K77:N77"/>
    <mergeCell ref="O77:Q77"/>
    <mergeCell ref="R77:S77"/>
    <mergeCell ref="T77:U77"/>
    <mergeCell ref="V77:W77"/>
    <mergeCell ref="X77:Y77"/>
    <mergeCell ref="G78:J78"/>
    <mergeCell ref="K78:N78"/>
    <mergeCell ref="O78:Q78"/>
    <mergeCell ref="R78:S78"/>
    <mergeCell ref="T78:U78"/>
    <mergeCell ref="V78:W78"/>
    <mergeCell ref="X78:Y78"/>
    <mergeCell ref="V85:W85"/>
    <mergeCell ref="X85:Y85"/>
    <mergeCell ref="G84:J84"/>
    <mergeCell ref="K84:W84"/>
    <mergeCell ref="G85:J85"/>
    <mergeCell ref="K85:N85"/>
    <mergeCell ref="O85:Q85"/>
    <mergeCell ref="R85:S85"/>
    <mergeCell ref="T85:U85"/>
    <mergeCell ref="G86:J86"/>
    <mergeCell ref="K86:N86"/>
    <mergeCell ref="O86:Q86"/>
    <mergeCell ref="R86:S86"/>
    <mergeCell ref="T86:U86"/>
    <mergeCell ref="V86:W86"/>
    <mergeCell ref="X86:Y86"/>
    <mergeCell ref="G87:J87"/>
    <mergeCell ref="K87:N87"/>
    <mergeCell ref="O87:Q87"/>
    <mergeCell ref="R87:S87"/>
    <mergeCell ref="T87:U87"/>
    <mergeCell ref="V87:W87"/>
    <mergeCell ref="X87:Y87"/>
    <mergeCell ref="G90:J90"/>
    <mergeCell ref="K90:N90"/>
    <mergeCell ref="O90:Q90"/>
    <mergeCell ref="R90:S90"/>
    <mergeCell ref="T90:U90"/>
    <mergeCell ref="V90:W90"/>
    <mergeCell ref="X90:Y90"/>
    <mergeCell ref="C92:F92"/>
    <mergeCell ref="C95:F95"/>
    <mergeCell ref="G95:J95"/>
    <mergeCell ref="K95:W95"/>
    <mergeCell ref="G96:J96"/>
    <mergeCell ref="K96:N96"/>
    <mergeCell ref="O96:Q96"/>
    <mergeCell ref="V96:W96"/>
    <mergeCell ref="C96:F96"/>
    <mergeCell ref="C97:F97"/>
    <mergeCell ref="G97:J97"/>
    <mergeCell ref="K97:N97"/>
    <mergeCell ref="O97:Q97"/>
    <mergeCell ref="R97:S97"/>
    <mergeCell ref="T97:U97"/>
    <mergeCell ref="C76:F76"/>
    <mergeCell ref="C77:F77"/>
    <mergeCell ref="C78:F78"/>
    <mergeCell ref="C79:F79"/>
    <mergeCell ref="C80:F80"/>
    <mergeCell ref="C81:F81"/>
    <mergeCell ref="C84:F84"/>
    <mergeCell ref="C85:F85"/>
    <mergeCell ref="C86:F86"/>
    <mergeCell ref="C87:F87"/>
    <mergeCell ref="C88:F88"/>
    <mergeCell ref="C89:F89"/>
    <mergeCell ref="C90:F90"/>
    <mergeCell ref="C91:F91"/>
    <mergeCell ref="V99:W99"/>
    <mergeCell ref="X99:Y99"/>
    <mergeCell ref="G100:J100"/>
    <mergeCell ref="K100:N100"/>
    <mergeCell ref="O100:Q100"/>
    <mergeCell ref="R100:S100"/>
    <mergeCell ref="T100:U100"/>
    <mergeCell ref="C100:F100"/>
    <mergeCell ref="C101:F101"/>
    <mergeCell ref="G101:J101"/>
    <mergeCell ref="K101:N101"/>
    <mergeCell ref="O101:Q101"/>
    <mergeCell ref="R101:S101"/>
    <mergeCell ref="T101:U101"/>
    <mergeCell ref="G102:J102"/>
    <mergeCell ref="K102:N102"/>
    <mergeCell ref="O102:Q102"/>
    <mergeCell ref="R102:S102"/>
    <mergeCell ref="T102:U102"/>
    <mergeCell ref="V102:W102"/>
    <mergeCell ref="X102:Y102"/>
    <mergeCell ref="C102:F102"/>
    <mergeCell ref="C103:F103"/>
    <mergeCell ref="G103:J103"/>
    <mergeCell ref="K103:N103"/>
    <mergeCell ref="O103:Q103"/>
    <mergeCell ref="R103:S103"/>
    <mergeCell ref="T103:U103"/>
    <mergeCell ref="G92:J92"/>
    <mergeCell ref="K92:N92"/>
    <mergeCell ref="O92:Q92"/>
    <mergeCell ref="R92:S92"/>
    <mergeCell ref="T92:U92"/>
    <mergeCell ref="V92:W92"/>
    <mergeCell ref="X92:Y92"/>
    <mergeCell ref="G91:J91"/>
    <mergeCell ref="K91:N91"/>
    <mergeCell ref="O91:Q91"/>
    <mergeCell ref="R91:S91"/>
    <mergeCell ref="T91:U91"/>
    <mergeCell ref="V91:W91"/>
    <mergeCell ref="X91:Y91"/>
    <mergeCell ref="R96:S96"/>
    <mergeCell ref="T96:U96"/>
    <mergeCell ref="X96:Y96"/>
    <mergeCell ref="V97:W97"/>
    <mergeCell ref="X97:Y97"/>
    <mergeCell ref="V100:W100"/>
    <mergeCell ref="X100:Y100"/>
    <mergeCell ref="V101:W101"/>
    <mergeCell ref="X101:Y101"/>
    <mergeCell ref="V103:W103"/>
    <mergeCell ref="X103:Y103"/>
    <mergeCell ref="F12:W12"/>
    <mergeCell ref="X12:Y12"/>
    <mergeCell ref="F13:W13"/>
    <mergeCell ref="X13:Y13"/>
    <mergeCell ref="F14:W14"/>
    <mergeCell ref="X14:Y14"/>
    <mergeCell ref="X15:Y15"/>
    <mergeCell ref="F15:W15"/>
    <mergeCell ref="F16:W16"/>
    <mergeCell ref="X16:Y16"/>
    <mergeCell ref="F17:W17"/>
    <mergeCell ref="X17:Y17"/>
    <mergeCell ref="F18:W18"/>
    <mergeCell ref="X18:Y18"/>
    <mergeCell ref="F22:W22"/>
    <mergeCell ref="F23:W23"/>
    <mergeCell ref="X23:Y23"/>
    <mergeCell ref="F24:W24"/>
    <mergeCell ref="X24:Y24"/>
    <mergeCell ref="F25:W25"/>
    <mergeCell ref="X25:Y25"/>
    <mergeCell ref="F26:W26"/>
    <mergeCell ref="X26:Y26"/>
    <mergeCell ref="F27:W27"/>
    <mergeCell ref="X27:Y27"/>
    <mergeCell ref="F28:W28"/>
    <mergeCell ref="X28:Y28"/>
    <mergeCell ref="A29:Y29"/>
    <mergeCell ref="V32:W32"/>
    <mergeCell ref="X32:Y32"/>
    <mergeCell ref="G31:J31"/>
    <mergeCell ref="K31:W31"/>
    <mergeCell ref="G32:J32"/>
    <mergeCell ref="K32:N32"/>
    <mergeCell ref="O32:Q32"/>
    <mergeCell ref="R32:S32"/>
    <mergeCell ref="T32:U32"/>
    <mergeCell ref="G33:J33"/>
    <mergeCell ref="K33:N33"/>
    <mergeCell ref="O33:Q33"/>
    <mergeCell ref="R33:S33"/>
    <mergeCell ref="T33:U33"/>
    <mergeCell ref="V33:W33"/>
    <mergeCell ref="X33:Y33"/>
    <mergeCell ref="G34:J34"/>
    <mergeCell ref="K34:N34"/>
    <mergeCell ref="O34:Q34"/>
    <mergeCell ref="R34:S34"/>
    <mergeCell ref="T34:U34"/>
    <mergeCell ref="V34:W34"/>
    <mergeCell ref="X34:Y34"/>
    <mergeCell ref="A1:Y1"/>
    <mergeCell ref="A2:Y2"/>
    <mergeCell ref="B3:E3"/>
    <mergeCell ref="F3:W3"/>
    <mergeCell ref="X3:Y3"/>
    <mergeCell ref="F4:W4"/>
    <mergeCell ref="X4:Y4"/>
    <mergeCell ref="F5:W5"/>
    <mergeCell ref="X5:Y5"/>
    <mergeCell ref="F6:W6"/>
    <mergeCell ref="X6:Y6"/>
    <mergeCell ref="F7:W7"/>
    <mergeCell ref="X7:Y7"/>
    <mergeCell ref="X8:Y8"/>
    <mergeCell ref="B4:E4"/>
    <mergeCell ref="B5:E5"/>
    <mergeCell ref="B6:E6"/>
    <mergeCell ref="B7:E7"/>
    <mergeCell ref="B8:E8"/>
    <mergeCell ref="B9:E9"/>
    <mergeCell ref="B10:E10"/>
    <mergeCell ref="F8:W8"/>
    <mergeCell ref="F9:W9"/>
    <mergeCell ref="X9:Y9"/>
    <mergeCell ref="F10:W10"/>
    <mergeCell ref="X10:Y10"/>
    <mergeCell ref="F11:W11"/>
    <mergeCell ref="X11:Y11"/>
    <mergeCell ref="B11:E11"/>
    <mergeCell ref="B12:E12"/>
    <mergeCell ref="B13:E13"/>
    <mergeCell ref="B14:E14"/>
    <mergeCell ref="B15:E15"/>
    <mergeCell ref="B16:E16"/>
    <mergeCell ref="B17:E17"/>
    <mergeCell ref="F19:W19"/>
    <mergeCell ref="X19:Y19"/>
    <mergeCell ref="F20:W20"/>
    <mergeCell ref="X20:Y20"/>
    <mergeCell ref="F21:W21"/>
    <mergeCell ref="X21:Y21"/>
    <mergeCell ref="X22:Y22"/>
    <mergeCell ref="G35:J35"/>
    <mergeCell ref="K35:N35"/>
    <mergeCell ref="O35:Q35"/>
    <mergeCell ref="R35:S35"/>
    <mergeCell ref="T35:U35"/>
    <mergeCell ref="V35:W35"/>
    <mergeCell ref="X35:Y35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C31:F31"/>
    <mergeCell ref="C32:F32"/>
    <mergeCell ref="C33:F33"/>
    <mergeCell ref="C34:F34"/>
    <mergeCell ref="C35:F35"/>
    <mergeCell ref="C36:F36"/>
    <mergeCell ref="C37:F37"/>
    <mergeCell ref="C38:F38"/>
    <mergeCell ref="C39:F39"/>
    <mergeCell ref="C41:F41"/>
    <mergeCell ref="C42:F42"/>
    <mergeCell ref="C43:F43"/>
    <mergeCell ref="C44:F44"/>
    <mergeCell ref="C45:F45"/>
    <mergeCell ref="C46:F46"/>
    <mergeCell ref="C47:F47"/>
    <mergeCell ref="C48:F48"/>
    <mergeCell ref="C49:F49"/>
    <mergeCell ref="C51:F51"/>
    <mergeCell ref="C52:F52"/>
    <mergeCell ref="C54:F54"/>
    <mergeCell ref="C55:F55"/>
    <mergeCell ref="C56:F56"/>
    <mergeCell ref="C57:F57"/>
    <mergeCell ref="C58:F58"/>
    <mergeCell ref="C59:F59"/>
    <mergeCell ref="C62:F62"/>
    <mergeCell ref="C63:F63"/>
    <mergeCell ref="C64:F64"/>
    <mergeCell ref="C65:F65"/>
    <mergeCell ref="C66:F66"/>
    <mergeCell ref="C67:F67"/>
    <mergeCell ref="C68:F68"/>
    <mergeCell ref="C69:F69"/>
    <mergeCell ref="C70:F70"/>
    <mergeCell ref="C73:F73"/>
    <mergeCell ref="C74:F74"/>
    <mergeCell ref="C75:F75"/>
    <mergeCell ref="G98:J98"/>
    <mergeCell ref="K98:N98"/>
    <mergeCell ref="O98:Q98"/>
    <mergeCell ref="R98:S98"/>
    <mergeCell ref="T98:U98"/>
    <mergeCell ref="V98:W98"/>
    <mergeCell ref="X98:Y98"/>
    <mergeCell ref="C98:F98"/>
    <mergeCell ref="C99:F99"/>
    <mergeCell ref="G99:J99"/>
    <mergeCell ref="K99:N99"/>
    <mergeCell ref="O99:Q99"/>
    <mergeCell ref="R99:S99"/>
    <mergeCell ref="T99:U99"/>
  </mergeCells>
  <drawing r:id="rId2"/>
  <legacyDrawing r:id="rId3"/>
</worksheet>
</file>