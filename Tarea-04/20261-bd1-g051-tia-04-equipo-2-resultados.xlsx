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Tipos de Dato" sheetId="2" r:id="rId5"/>
    <sheet state="visible" name="Invetario de Tablas" sheetId="3" r:id="rId6"/>
    <sheet state="visible" name="Diccionario Datos - PostgreSQL" sheetId="4" r:id="rId7"/>
    <sheet state="visible" name="Diccionario Datos - MySQL" sheetId="5" r:id="rId8"/>
    <sheet state="visible" name="Diccionario Datos - MS SQL Serv" sheetId="6" r:id="rId9"/>
  </sheets>
  <definedNames/>
  <calcPr/>
  <extLst>
    <ext uri="GoogleSheetsCustomDataVersion2">
      <go:sheetsCustomData xmlns:go="http://customooxmlschemas.google.com/" r:id="rId10" roundtripDataChecksum="/0RE2GMEyP8E7UtdbTR4/OsESYZHWBlGsCt0Y+INFxk="/>
    </ext>
  </extLst>
</workbook>
</file>

<file path=xl/sharedStrings.xml><?xml version="1.0" encoding="utf-8"?>
<sst xmlns="http://schemas.openxmlformats.org/spreadsheetml/2006/main" count="1251" uniqueCount="247">
  <si>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</si>
  <si>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</si>
  <si>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</si>
  <si>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</si>
  <si>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</si>
  <si>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</si>
  <si>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</si>
  <si>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Versión: 18</t>
  </si>
  <si>
    <t xml:space="preserve">Versión: 8.4 </t>
  </si>
  <si>
    <t>Versión: 2025</t>
  </si>
  <si>
    <t>AUTOINCREMENTABLE</t>
  </si>
  <si>
    <t>Clave numérica que se autoincrementa.</t>
  </si>
  <si>
    <t>SERIAL / BIGSERIAL (o columna IDENTITY)</t>
  </si>
  <si>
    <t>AUTO_INCREMENT</t>
  </si>
  <si>
    <t>IDENTITY(1,1)</t>
  </si>
  <si>
    <t>UUID</t>
  </si>
  <si>
    <t>Identificador único universal (GUID).</t>
  </si>
  <si>
    <t>CHAR(36) o BINARY(16)</t>
  </si>
  <si>
    <t>UNIQUEIDENTIFIER</t>
  </si>
  <si>
    <t>ENTERO</t>
  </si>
  <si>
    <t>Números enteros con/sin signo.</t>
  </si>
  <si>
    <t>INTEGER / INT / SMALLINT / BIGINT</t>
  </si>
  <si>
    <t>INT / TINYINT / SMALLINT / MEDIUMINT / BIGINT</t>
  </si>
  <si>
    <t>INT / BIGINT / SMALLINT / TINYINT</t>
  </si>
  <si>
    <t>DECIMAL</t>
  </si>
  <si>
    <t>Números con precisión fija (coma flotante).</t>
  </si>
  <si>
    <t>DECIMAL / NUMERIC</t>
  </si>
  <si>
    <t>LÓGICO</t>
  </si>
  <si>
    <t>Valores booleanos (Verdadero/Falso).</t>
  </si>
  <si>
    <t>BOOLEAN</t>
  </si>
  <si>
    <t>BOOLEAN / BOOL (alias de TINYINT(1))</t>
  </si>
  <si>
    <t>BIT</t>
  </si>
  <si>
    <t>TEXTO</t>
  </si>
  <si>
    <t>Grandes bloques de texto de longitud variable.</t>
  </si>
  <si>
    <t>TEXT</t>
  </si>
  <si>
    <t>TEXT / TINYTEXT / MEDIUMTEXT / LONGTEXT</t>
  </si>
  <si>
    <t>VARCHAR(MAX) (recomendado) o TEXT (obsoleto)</t>
  </si>
  <si>
    <t>CARACTER</t>
  </si>
  <si>
    <t>Cadenas de caracteres de longitud fija.</t>
  </si>
  <si>
    <t>CHAR(n)</t>
  </si>
  <si>
    <t>CHAR(n) / NCHAR(n)</t>
  </si>
  <si>
    <t>FECHA</t>
  </si>
  <si>
    <t>Fecha (año, mes, día).</t>
  </si>
  <si>
    <t>DATE</t>
  </si>
  <si>
    <t>FECHA_HORA</t>
  </si>
  <si>
    <t>Fecha y hora (timestamp).</t>
  </si>
  <si>
    <t>TIMESTAMP</t>
  </si>
  <si>
    <t>DATETIME / TIMESTAMP</t>
  </si>
  <si>
    <t>DATETIME2 / DATETIME / SMALLDATETIME</t>
  </si>
  <si>
    <t>HORA</t>
  </si>
  <si>
    <t>Hora del día (hora, minuto, segundo).</t>
  </si>
  <si>
    <t>TIME</t>
  </si>
  <si>
    <t>URL</t>
  </si>
  <si>
    <t>Almacenamiento de direcciones web (URL).</t>
  </si>
  <si>
    <t>VARCHAR(n) o TEXT</t>
  </si>
  <si>
    <t>VARCHAR(n) o NVARCHAR(n)</t>
  </si>
  <si>
    <t>ENUM</t>
  </si>
  <si>
    <t>Lista predefinida de valores permitidos.</t>
  </si>
  <si>
    <t>CREATE TYPE ... AS ENUM</t>
  </si>
  <si>
    <t>ENUM('val1','val2',...)</t>
  </si>
  <si>
    <t>VARCHAR + CHECK (no tiene tipo ENUM nativo)</t>
  </si>
  <si>
    <t xml:space="preserve">TEXTO_CORTO </t>
  </si>
  <si>
    <t>Cadenas de caracteres de longitud variable.</t>
  </si>
  <si>
    <t>VARCHAR(n)</t>
  </si>
  <si>
    <t>VARCHAR(n) / NVARCHAR(n)</t>
  </si>
  <si>
    <t>BINARIO</t>
  </si>
  <si>
    <t>Datos binarios genéricos (longitud variable).</t>
  </si>
  <si>
    <t>BYTEA</t>
  </si>
  <si>
    <t>VARBINARY(n) / BLOB</t>
  </si>
  <si>
    <t>VARBINARY(n) / VARBINARY(MAX)</t>
  </si>
  <si>
    <t>JSON</t>
  </si>
  <si>
    <t>Datos estructurados en formato JSON.</t>
  </si>
  <si>
    <t>JSON (almacenamiento textual)</t>
  </si>
  <si>
    <t>JSON (nativo en binario)</t>
  </si>
  <si>
    <t>JSONB</t>
  </si>
  <si>
    <t>JSON en formato binario optimizado para consultas.</t>
  </si>
  <si>
    <t>No tiene. JSON es similar en funcionalidad</t>
  </si>
  <si>
    <t>No tiene tipo JSONB. El tipo JSON es binario</t>
  </si>
  <si>
    <t>IMAGEN</t>
  </si>
  <si>
    <t>Archivos de imagen (JPEG, PNG, etc.).</t>
  </si>
  <si>
    <t>BYTEA o BLOB (vía extensión)</t>
  </si>
  <si>
    <t>BLOB / LONGBLOB</t>
  </si>
  <si>
    <t>VARBINARY(MAX) (recomendado) o IMAGE (obsoleto)</t>
  </si>
  <si>
    <t>AUDIO</t>
  </si>
  <si>
    <t>Archivos de audio (MP3, WAV, etc.).</t>
  </si>
  <si>
    <t>VARBINARY(MAX)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</si>
  <si>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</si>
  <si>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</si>
  <si>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</si>
  <si>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</si>
  <si>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</si>
  <si>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rol</t>
  </si>
  <si>
    <t>Define los tipos de usuario del sistema</t>
  </si>
  <si>
    <t>Control de acceso</t>
  </si>
  <si>
    <t>usuario</t>
  </si>
  <si>
    <t>Usuarios del sistema</t>
  </si>
  <si>
    <t>FK hacia roles</t>
  </si>
  <si>
    <t>apiario</t>
  </si>
  <si>
    <t>Ubicación de colmenas</t>
  </si>
  <si>
    <t>Unidad productiva</t>
  </si>
  <si>
    <t>colmena</t>
  </si>
  <si>
    <t>Colmenas del apiario</t>
  </si>
  <si>
    <t>FK hacia apiarios</t>
  </si>
  <si>
    <t>sensor_iot</t>
  </si>
  <si>
    <t>Sensores instalados</t>
  </si>
  <si>
    <t>FK hacia colmenas</t>
  </si>
  <si>
    <t>dato_sensor</t>
  </si>
  <si>
    <t>Datos capturados</t>
  </si>
  <si>
    <t>Datos históricos</t>
  </si>
  <si>
    <t>producto</t>
  </si>
  <si>
    <t>Productos apícolas</t>
  </si>
  <si>
    <t>Usado en ventas</t>
  </si>
  <si>
    <t>pedido</t>
  </si>
  <si>
    <t>Registro de pedidos</t>
  </si>
  <si>
    <t>Transacciones</t>
  </si>
  <si>
    <t>detalle_pedido</t>
  </si>
  <si>
    <t>Detalle de productos por pedido</t>
  </si>
  <si>
    <t>Tabla intermedia</t>
  </si>
  <si>
    <t>certificacion</t>
  </si>
  <si>
    <t>Certificaciones apícolas</t>
  </si>
  <si>
    <t>Regulación</t>
  </si>
  <si>
    <t>inspeccion</t>
  </si>
  <si>
    <t>Inspecciones realizadas</t>
  </si>
  <si>
    <t>Control sanitario</t>
  </si>
  <si>
    <t>entidades_regulatoria</t>
  </si>
  <si>
    <t>Entidades de control</t>
  </si>
  <si>
    <t>Supervisión</t>
  </si>
  <si>
    <t>lotes_produccion</t>
  </si>
  <si>
    <t>Lotes de producción</t>
  </si>
  <si>
    <t>Producción</t>
  </si>
  <si>
    <t>usuario_apiario</t>
  </si>
  <si>
    <t>Relación usuarios-apiarios</t>
  </si>
  <si>
    <t>Tabla M:N</t>
  </si>
  <si>
    <t>apiario_certificacion</t>
  </si>
  <si>
    <t>Relación apiarios-certificaciones</t>
  </si>
  <si>
    <t>producto_lote</t>
  </si>
  <si>
    <t>Relación productos-lotes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</si>
  <si>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</si>
  <si>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</si>
  <si>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</si>
  <si>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</si>
  <si>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</si>
  <si>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</si>
  <si>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</si>
  <si>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</si>
  <si>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</si>
  <si>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</si>
  <si>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</si>
  <si>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id_rol</t>
  </si>
  <si>
    <t>identificacion del rol</t>
  </si>
  <si>
    <t>SERIAL</t>
  </si>
  <si>
    <t>no</t>
  </si>
  <si>
    <t>s</t>
  </si>
  <si>
    <t>clave primaria</t>
  </si>
  <si>
    <t>nombre</t>
  </si>
  <si>
    <t>nombre del rol</t>
  </si>
  <si>
    <t>VARCHAR</t>
  </si>
  <si>
    <t>valor unico</t>
  </si>
  <si>
    <t>id_usuarios</t>
  </si>
  <si>
    <t>identificacion de usuario</t>
  </si>
  <si>
    <t>nombre del usuario</t>
  </si>
  <si>
    <t>correo</t>
  </si>
  <si>
    <t>correo electronico</t>
  </si>
  <si>
    <t>unico</t>
  </si>
  <si>
    <t>rol asignado</t>
  </si>
  <si>
    <t>INT</t>
  </si>
  <si>
    <t>relacion con roles</t>
  </si>
  <si>
    <t>id_apiarios</t>
  </si>
  <si>
    <t>identificador</t>
  </si>
  <si>
    <t>ubicación</t>
  </si>
  <si>
    <t>ubicación de apiario</t>
  </si>
  <si>
    <t>Registra colmenas</t>
  </si>
  <si>
    <t>id_colmenas</t>
  </si>
  <si>
    <t>Relacion con apiarios</t>
  </si>
  <si>
    <t>estado</t>
  </si>
  <si>
    <t>si</t>
  </si>
  <si>
    <t>sensores instalados</t>
  </si>
  <si>
    <t>id_sensor</t>
  </si>
  <si>
    <t>id_colmena</t>
  </si>
  <si>
    <t>colmena asociada</t>
  </si>
  <si>
    <t>relacion con colmenas</t>
  </si>
  <si>
    <t>tipo</t>
  </si>
  <si>
    <t>tipo de sensor</t>
  </si>
  <si>
    <t>Registros de sensores</t>
  </si>
  <si>
    <t>id_dato</t>
  </si>
  <si>
    <t>identificador del dato</t>
  </si>
  <si>
    <t>sensor asociado</t>
  </si>
  <si>
    <t>S</t>
  </si>
  <si>
    <t>Relacion con sensores</t>
  </si>
  <si>
    <t>valor</t>
  </si>
  <si>
    <t>valor medido</t>
  </si>
  <si>
    <t>Decimal</t>
  </si>
  <si>
    <t>fecha</t>
  </si>
  <si>
    <t>fecha del registro</t>
  </si>
  <si>
    <t>id_producto</t>
  </si>
  <si>
    <t>Identificador del producto</t>
  </si>
  <si>
    <t>nombre del producto</t>
  </si>
  <si>
    <t>precio</t>
  </si>
  <si>
    <t>Ordenes de compra</t>
  </si>
  <si>
    <t>id_pedido</t>
  </si>
  <si>
    <t>identificador del pedido</t>
  </si>
  <si>
    <t>fecha del pedido</t>
  </si>
  <si>
    <t>id_detalles</t>
  </si>
  <si>
    <t>identificador de detalles</t>
  </si>
  <si>
    <t>pedido asociado</t>
  </si>
  <si>
    <t>Relacion con pedidos</t>
  </si>
  <si>
    <t>producto asociado</t>
  </si>
  <si>
    <t>Relacion con productos</t>
  </si>
  <si>
    <t>cantidad</t>
  </si>
  <si>
    <t>id_certificacion</t>
  </si>
  <si>
    <t>Identificador</t>
  </si>
  <si>
    <t>Nombre</t>
  </si>
  <si>
    <t>Relación entre usuarios y apiarios</t>
  </si>
  <si>
    <t>id_usuario</t>
  </si>
  <si>
    <t>relacion con usuarios</t>
  </si>
  <si>
    <t>id_apiario</t>
  </si>
  <si>
    <t>relacion con apiarios</t>
  </si>
  <si>
    <t>Relación entre productos y lotes de producción</t>
  </si>
  <si>
    <t>relacion con certificaciones</t>
  </si>
  <si>
    <t>relacion con productos</t>
  </si>
  <si>
    <t>id_lote</t>
  </si>
  <si>
    <t>lote</t>
  </si>
  <si>
    <t>relacion con lotes_produccion</t>
  </si>
  <si>
    <t>entidades_regulatorias</t>
  </si>
  <si>
    <t>Entidades de control y supervisión</t>
  </si>
  <si>
    <t>id_entidad</t>
  </si>
  <si>
    <t>identificacion de la entidad</t>
  </si>
  <si>
    <t>nombre de la entidad</t>
  </si>
  <si>
    <t>inspecciones</t>
  </si>
  <si>
    <t>Registro de inspecciones realizadas a apiarios</t>
  </si>
  <si>
    <t>id_inspeccion</t>
  </si>
  <si>
    <t>identificacion de la inspeccion</t>
  </si>
  <si>
    <t>apiario inspeccionado</t>
  </si>
  <si>
    <t>entidad que inspecciona</t>
  </si>
  <si>
    <t>relacion con entidades_regulatorias</t>
  </si>
  <si>
    <t>fecha de la inspeccion</t>
  </si>
  <si>
    <t>Registro de lotes generados en producción</t>
  </si>
  <si>
    <t>identificacion del lote</t>
  </si>
  <si>
    <t>fecha de produccion</t>
  </si>
  <si>
    <t>cantidad producida</t>
  </si>
  <si>
    <t>MySQL - Tablas en Detalle</t>
  </si>
  <si>
    <t>Tipo Dato - MySQL</t>
  </si>
  <si>
    <t>MS SQL Server - Tablas en Detalle</t>
  </si>
  <si>
    <t>Tipo Dato - MS SQL Server</t>
  </si>
  <si>
    <t xml:space="preserve">Tamaño </t>
  </si>
  <si>
    <t>IDENTITY</t>
  </si>
  <si>
    <t>DATETIME2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</si>
</sst>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8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sz val="12.0"/>
      <color theme="1"/>
      <name val="Calibri"/>
    </font>
    <font>
      <b/>
      <sz val="14.0"/>
      <color theme="1"/>
      <name val="Arial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2.0"/>
      <color rgb="FFFFFFFF"/>
      <name val="Calibri"/>
    </font>
    <font>
      <sz val="16.0"/>
      <color theme="1"/>
      <name val="Calibri"/>
    </font>
    <font>
      <color theme="1"/>
      <name val="Arial"/>
    </font>
    <font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4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6" fillId="8" fontId="7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0" fontId="8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/>
    </xf>
    <xf borderId="1" fillId="9" fontId="10" numFmtId="0" xfId="0" applyAlignment="1" applyBorder="1" applyFill="1" applyFont="1">
      <alignment horizontal="center" vertical="center"/>
    </xf>
    <xf borderId="1" fillId="6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readingOrder="0" vertical="center"/>
    </xf>
    <xf borderId="5" fillId="0" fontId="7" numFmtId="0" xfId="0" applyAlignment="1" applyBorder="1" applyFont="1">
      <alignment horizontal="left" vertical="center"/>
    </xf>
    <xf borderId="1" fillId="5" fontId="13" numFmtId="0" xfId="0" applyAlignment="1" applyBorder="1" applyFont="1">
      <alignment horizontal="center" vertical="center"/>
    </xf>
    <xf borderId="9" fillId="10" fontId="14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1" fillId="5" fontId="6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horizontal="center" shrinkToFit="0" vertical="center" wrapText="1"/>
    </xf>
    <xf borderId="15" fillId="3" fontId="7" numFmtId="0" xfId="0" applyAlignment="1" applyBorder="1" applyFont="1">
      <alignment horizontal="center" readingOrder="0" shrinkToFit="0" vertical="center" wrapText="1"/>
    </xf>
    <xf borderId="16" fillId="5" fontId="15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5" fillId="3" fontId="16" numFmtId="0" xfId="0" applyAlignment="1" applyBorder="1" applyFont="1">
      <alignment horizontal="left" shrinkToFit="0" vertical="center" wrapText="1"/>
    </xf>
    <xf borderId="6" fillId="3" fontId="16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6" fillId="3" fontId="16" numFmtId="0" xfId="0" applyAlignment="1" applyBorder="1" applyFont="1">
      <alignment horizontal="left" readingOrder="0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6" fillId="3" fontId="17" numFmtId="0" xfId="0" applyBorder="1" applyFont="1"/>
    <xf borderId="9" fillId="10" fontId="14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5" fillId="3" fontId="16" numFmtId="0" xfId="0" applyAlignment="1" applyBorder="1" applyFont="1">
      <alignment horizontal="left" readingOrder="0" shrinkToFit="0" vertical="center" wrapText="1"/>
    </xf>
    <xf borderId="9" fillId="10" fontId="14" numFmtId="0" xfId="0" applyAlignment="1" applyBorder="1" applyFont="1">
      <alignment horizontal="center" readingOrder="0" shrinkToFit="0" wrapText="1"/>
    </xf>
    <xf borderId="11" fillId="5" fontId="6" numFmtId="0" xfId="0" applyAlignment="1" applyBorder="1" applyFont="1">
      <alignment horizontal="center" shrinkToFit="0" wrapText="1"/>
    </xf>
    <xf borderId="11" fillId="3" fontId="7" numFmtId="0" xfId="0" applyAlignment="1" applyBorder="1" applyFont="1">
      <alignment horizontal="center" readingOrder="0" shrinkToFit="0" wrapText="1"/>
    </xf>
    <xf borderId="11" fillId="0" fontId="7" numFmtId="0" xfId="0" applyAlignment="1" applyBorder="1" applyFont="1">
      <alignment horizontal="center" readingOrder="0" shrinkToFit="0" wrapText="1"/>
    </xf>
    <xf borderId="14" fillId="5" fontId="6" numFmtId="0" xfId="0" applyAlignment="1" applyBorder="1" applyFont="1">
      <alignment horizontal="center" shrinkToFit="0" wrapText="1"/>
    </xf>
    <xf borderId="16" fillId="5" fontId="15" numFmtId="0" xfId="0" applyAlignment="1" applyBorder="1" applyFont="1">
      <alignment horizontal="center" shrinkToFit="0" wrapText="1"/>
    </xf>
    <xf borderId="5" fillId="5" fontId="6" numFmtId="0" xfId="0" applyAlignment="1" applyBorder="1" applyFont="1">
      <alignment horizontal="center" shrinkToFit="0" wrapText="1"/>
    </xf>
    <xf borderId="6" fillId="5" fontId="6" numFmtId="0" xfId="0" applyAlignment="1" applyBorder="1" applyFont="1">
      <alignment horizontal="center" shrinkToFit="0" wrapText="1"/>
    </xf>
    <xf borderId="16" fillId="0" fontId="7" numFmtId="0" xfId="0" applyAlignment="1" applyBorder="1" applyFont="1">
      <alignment horizontal="center" shrinkToFit="0" wrapText="1"/>
    </xf>
    <xf borderId="5" fillId="3" fontId="16" numFmtId="0" xfId="0" applyAlignment="1" applyBorder="1" applyFont="1">
      <alignment readingOrder="0" shrinkToFit="0" wrapText="1"/>
    </xf>
    <xf borderId="6" fillId="3" fontId="16" numFmtId="0" xfId="0" applyAlignment="1" applyBorder="1" applyFont="1">
      <alignment readingOrder="0" shrinkToFit="0" wrapText="1"/>
    </xf>
    <xf borderId="6" fillId="3" fontId="16" numFmtId="0" xfId="0" applyAlignment="1" applyBorder="1" applyFont="1">
      <alignment shrinkToFit="0" wrapText="1"/>
    </xf>
    <xf borderId="6" fillId="3" fontId="16" numFmtId="0" xfId="0" applyAlignment="1" applyBorder="1" applyFont="1">
      <alignment readingOrder="0"/>
    </xf>
    <xf borderId="6" fillId="3" fontId="16" numFmtId="0" xfId="0" applyAlignment="1" applyBorder="1" applyFont="1">
      <alignment horizontal="left" readingOrder="0"/>
    </xf>
    <xf borderId="5" fillId="3" fontId="16" numFmtId="0" xfId="0" applyAlignment="1" applyBorder="1" applyFont="1">
      <alignment shrinkToFit="0" wrapText="1"/>
    </xf>
    <xf borderId="1" fillId="6" fontId="13" numFmtId="0" xfId="0" applyAlignment="1" applyBorder="1" applyFont="1">
      <alignment horizontal="center" vertical="center"/>
    </xf>
    <xf borderId="18" fillId="10" fontId="14" numFmtId="0" xfId="0" applyAlignment="1" applyBorder="1" applyFont="1">
      <alignment horizontal="center" shrinkToFit="0" vertical="center" wrapText="1"/>
    </xf>
    <xf borderId="19" fillId="6" fontId="6" numFmtId="0" xfId="0" applyAlignment="1" applyBorder="1" applyFont="1">
      <alignment horizontal="center" shrinkToFit="0" vertical="center" wrapText="1"/>
    </xf>
    <xf borderId="20" fillId="3" fontId="7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6" fontId="6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4" fillId="6" fontId="6" numFmtId="0" xfId="0" applyAlignment="1" applyBorder="1" applyFont="1">
      <alignment horizontal="center" shrinkToFit="0" vertical="center" wrapText="1"/>
    </xf>
    <xf borderId="25" fillId="6" fontId="15" numFmtId="0" xfId="0" applyAlignment="1" applyBorder="1" applyFont="1">
      <alignment horizontal="center" shrinkToFit="0" vertical="center" wrapText="1"/>
    </xf>
    <xf borderId="26" fillId="6" fontId="6" numFmtId="0" xfId="0" applyAlignment="1" applyBorder="1" applyFont="1">
      <alignment horizontal="center" shrinkToFit="0" vertical="center" wrapText="1"/>
    </xf>
    <xf borderId="27" fillId="6" fontId="6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6" fontId="6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8" fillId="3" fontId="16" numFmtId="0" xfId="0" applyAlignment="1" applyBorder="1" applyFont="1">
      <alignment horizontal="left" shrinkToFit="0" vertical="center" wrapText="1"/>
    </xf>
    <xf borderId="20" fillId="3" fontId="16" numFmtId="0" xfId="0" applyAlignment="1" applyBorder="1" applyFont="1">
      <alignment horizontal="left" shrinkToFit="0" vertical="center" wrapText="1"/>
    </xf>
    <xf borderId="20" fillId="3" fontId="16" numFmtId="0" xfId="0" applyAlignment="1" applyBorder="1" applyFont="1">
      <alignment horizontal="left" readingOrder="0" shrinkToFit="0" vertical="center" wrapText="1"/>
    </xf>
    <xf borderId="0" fillId="0" fontId="18" numFmtId="0" xfId="0" applyFont="1"/>
    <xf borderId="33" fillId="3" fontId="7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35" fillId="0" fontId="3" numFmtId="0" xfId="0" applyBorder="1" applyFont="1"/>
    <xf borderId="12" fillId="6" fontId="6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center" shrinkToFit="0" vertical="center" wrapText="1"/>
    </xf>
    <xf borderId="36" fillId="6" fontId="6" numFmtId="0" xfId="0" applyAlignment="1" applyBorder="1" applyFont="1">
      <alignment horizontal="center" shrinkToFit="0" vertical="center" wrapText="1"/>
    </xf>
    <xf borderId="37" fillId="0" fontId="3" numFmtId="0" xfId="0" applyBorder="1" applyFont="1"/>
    <xf borderId="38" fillId="6" fontId="6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3" fontId="16" numFmtId="0" xfId="0" applyAlignment="1" applyBorder="1" applyFont="1">
      <alignment horizontal="left" shrinkToFit="0" vertical="center" wrapText="1"/>
    </xf>
    <xf borderId="41" fillId="0" fontId="3" numFmtId="0" xfId="0" applyBorder="1" applyFont="1"/>
    <xf borderId="42" fillId="0" fontId="3" numFmtId="0" xfId="0" applyBorder="1" applyFont="1"/>
    <xf borderId="40" fillId="3" fontId="16" numFmtId="0" xfId="0" applyAlignment="1" applyBorder="1" applyFont="1">
      <alignment horizontal="left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" fillId="7" fontId="13" numFmtId="0" xfId="0" applyAlignment="1" applyBorder="1" applyFont="1">
      <alignment horizontal="center" vertical="center"/>
    </xf>
    <xf borderId="19" fillId="7" fontId="6" numFmtId="0" xfId="0" applyAlignment="1" applyBorder="1" applyFont="1">
      <alignment horizontal="center" shrinkToFit="0" vertical="center" wrapText="1"/>
    </xf>
    <xf borderId="11" fillId="7" fontId="6" numFmtId="0" xfId="0" applyAlignment="1" applyBorder="1" applyFont="1">
      <alignment horizontal="center" shrinkToFit="0" vertical="center" wrapText="1"/>
    </xf>
    <xf borderId="14" fillId="7" fontId="6" numFmtId="0" xfId="0" applyAlignment="1" applyBorder="1" applyFont="1">
      <alignment horizontal="center" shrinkToFit="0" vertical="center" wrapText="1"/>
    </xf>
    <xf borderId="43" fillId="7" fontId="15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shrinkToFit="0" vertical="center" wrapText="1"/>
    </xf>
    <xf borderId="23" fillId="7" fontId="6" numFmtId="0" xfId="0" applyAlignment="1" applyBorder="1" applyFont="1">
      <alignment horizontal="center" shrinkToFit="0" vertical="center" wrapText="1"/>
    </xf>
    <xf borderId="24" fillId="7" fontId="6" numFmtId="0" xfId="0" applyAlignment="1" applyBorder="1" applyFont="1">
      <alignment horizontal="center" shrinkToFit="0" vertical="center" wrapText="1"/>
    </xf>
    <xf borderId="25" fillId="7" fontId="15" numFmtId="0" xfId="0" applyAlignment="1" applyBorder="1" applyFont="1">
      <alignment horizontal="center" shrinkToFit="0" vertical="center" wrapText="1"/>
    </xf>
    <xf borderId="26" fillId="7" fontId="6" numFmtId="0" xfId="0" applyAlignment="1" applyBorder="1" applyFont="1">
      <alignment horizontal="center" shrinkToFit="0" vertical="center" wrapText="1"/>
    </xf>
    <xf borderId="27" fillId="7" fontId="6" numFmtId="0" xfId="0" applyAlignment="1" applyBorder="1" applyFont="1">
      <alignment horizontal="center" shrinkToFit="0" vertical="center" wrapText="1"/>
    </xf>
    <xf borderId="29" fillId="7" fontId="6" numFmtId="0" xfId="0" applyAlignment="1" applyBorder="1" applyFont="1">
      <alignment horizontal="center" readingOrder="0" shrinkToFit="0" vertical="center" wrapText="1"/>
    </xf>
    <xf borderId="29" fillId="7" fontId="6" numFmtId="0" xfId="0" applyAlignment="1" applyBorder="1" applyFont="1">
      <alignment horizontal="center" shrinkToFit="0" vertical="center" wrapText="1"/>
    </xf>
    <xf borderId="12" fillId="7" fontId="6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center" shrinkToFit="0" vertical="center" wrapText="1"/>
    </xf>
    <xf borderId="36" fillId="7" fontId="6" numFmtId="0" xfId="0" applyAlignment="1" applyBorder="1" applyFont="1">
      <alignment horizontal="center" shrinkToFit="0" vertical="center" wrapText="1"/>
    </xf>
    <xf borderId="38" fillId="7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-161925</xdr:rowOff>
    </xdr:from>
    <xdr:ext cx="23126700" cy="5448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1"/>
    </row>
    <row r="2" ht="15.0" customHeight="1">
      <c r="A2" s="1"/>
    </row>
    <row r="3" ht="15.0" customHeight="1">
      <c r="A3" s="1"/>
    </row>
    <row r="4" ht="15.0" customHeight="1">
      <c r="A4" s="1"/>
    </row>
    <row r="5" ht="15.0" customHeight="1">
      <c r="A5" s="1"/>
    </row>
    <row r="6" ht="15.0" customHeight="1">
      <c r="A6" s="1"/>
    </row>
    <row r="7" ht="15.0" customHeight="1">
      <c r="A7" s="1"/>
    </row>
    <row r="8" ht="15.0" customHeight="1">
      <c r="A8" s="1"/>
    </row>
    <row r="9" ht="15.0" customHeight="1">
      <c r="A9" s="1"/>
    </row>
    <row r="10" ht="15.0" customHeight="1">
      <c r="A10" s="1"/>
    </row>
    <row r="11" ht="15.0" customHeight="1">
      <c r="A11" s="1"/>
    </row>
    <row r="12" ht="15.0" customHeight="1">
      <c r="A12" s="1"/>
    </row>
    <row r="13" ht="15.0" customHeight="1">
      <c r="A13" s="1"/>
    </row>
    <row r="14" ht="15.0" customHeight="1">
      <c r="A14" s="1"/>
    </row>
    <row r="15" ht="15.0" customHeight="1">
      <c r="A15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38"/>
    <col customWidth="1" min="3" max="3" width="59.75"/>
    <col customWidth="1" min="4" max="4" width="59.25"/>
    <col customWidth="1" min="5" max="5" width="56.25"/>
    <col customWidth="1" min="6" max="6" width="76.25"/>
  </cols>
  <sheetData>
    <row r="1" ht="38.25" customHeight="1">
      <c r="A1" s="2" t="s">
        <v>0</v>
      </c>
      <c r="B1" s="3"/>
      <c r="C1" s="3"/>
      <c r="D1" s="3"/>
      <c r="E1" s="3"/>
      <c r="F1" s="4"/>
      <c r="G1" s="5"/>
      <c r="H1" s="5"/>
      <c r="I1" s="5"/>
      <c r="J1" s="5"/>
      <c r="K1" s="5"/>
    </row>
    <row r="2" ht="36.0" customHeight="1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 t="s">
        <v>6</v>
      </c>
    </row>
    <row r="3" ht="30.0" customHeight="1">
      <c r="A3" s="10"/>
      <c r="B3" s="11"/>
      <c r="C3" s="12"/>
      <c r="D3" s="13" t="s">
        <v>7</v>
      </c>
      <c r="E3" s="13" t="s">
        <v>8</v>
      </c>
      <c r="F3" s="13" t="s">
        <v>9</v>
      </c>
    </row>
    <row r="4" ht="30.0" customHeight="1">
      <c r="A4" s="14">
        <v>1.0</v>
      </c>
      <c r="B4" s="15" t="s">
        <v>10</v>
      </c>
      <c r="C4" s="16" t="s">
        <v>11</v>
      </c>
      <c r="D4" s="16" t="s">
        <v>12</v>
      </c>
      <c r="E4" s="16" t="s">
        <v>13</v>
      </c>
      <c r="F4" s="16" t="s">
        <v>14</v>
      </c>
    </row>
    <row r="5" ht="30.0" customHeight="1">
      <c r="A5" s="14">
        <f t="shared" ref="A5:A21" si="1">A4+1</f>
        <v>2</v>
      </c>
      <c r="B5" s="15" t="s">
        <v>15</v>
      </c>
      <c r="C5" s="16" t="s">
        <v>16</v>
      </c>
      <c r="D5" s="16" t="s">
        <v>15</v>
      </c>
      <c r="E5" s="16" t="s">
        <v>17</v>
      </c>
      <c r="F5" s="16" t="s">
        <v>18</v>
      </c>
    </row>
    <row r="6" ht="30.0" customHeight="1">
      <c r="A6" s="14">
        <f t="shared" si="1"/>
        <v>3</v>
      </c>
      <c r="B6" s="15" t="s">
        <v>19</v>
      </c>
      <c r="C6" s="16" t="s">
        <v>20</v>
      </c>
      <c r="D6" s="16" t="s">
        <v>21</v>
      </c>
      <c r="E6" s="16" t="s">
        <v>22</v>
      </c>
      <c r="F6" s="16" t="s">
        <v>23</v>
      </c>
    </row>
    <row r="7" ht="30.0" customHeight="1">
      <c r="A7" s="14">
        <f t="shared" si="1"/>
        <v>4</v>
      </c>
      <c r="B7" s="15" t="s">
        <v>24</v>
      </c>
      <c r="C7" s="16" t="s">
        <v>25</v>
      </c>
      <c r="D7" s="16" t="s">
        <v>26</v>
      </c>
      <c r="E7" s="16" t="s">
        <v>26</v>
      </c>
      <c r="F7" s="16" t="s">
        <v>26</v>
      </c>
    </row>
    <row r="8" ht="30.0" customHeight="1">
      <c r="A8" s="14">
        <f t="shared" si="1"/>
        <v>5</v>
      </c>
      <c r="B8" s="15" t="s">
        <v>27</v>
      </c>
      <c r="C8" s="16" t="s">
        <v>28</v>
      </c>
      <c r="D8" s="16" t="s">
        <v>29</v>
      </c>
      <c r="E8" s="16" t="s">
        <v>30</v>
      </c>
      <c r="F8" s="16" t="s">
        <v>31</v>
      </c>
    </row>
    <row r="9" ht="30.0" customHeight="1">
      <c r="A9" s="14">
        <f t="shared" si="1"/>
        <v>6</v>
      </c>
      <c r="B9" s="15" t="s">
        <v>32</v>
      </c>
      <c r="C9" s="16" t="s">
        <v>33</v>
      </c>
      <c r="D9" s="16" t="s">
        <v>34</v>
      </c>
      <c r="E9" s="16" t="s">
        <v>35</v>
      </c>
      <c r="F9" s="16" t="s">
        <v>36</v>
      </c>
    </row>
    <row r="10" ht="30.0" customHeight="1">
      <c r="A10" s="14">
        <f t="shared" si="1"/>
        <v>7</v>
      </c>
      <c r="B10" s="15" t="s">
        <v>37</v>
      </c>
      <c r="C10" s="16" t="s">
        <v>38</v>
      </c>
      <c r="D10" s="16" t="s">
        <v>39</v>
      </c>
      <c r="E10" s="16" t="s">
        <v>39</v>
      </c>
      <c r="F10" s="16" t="s">
        <v>40</v>
      </c>
    </row>
    <row r="11" ht="30.0" customHeight="1">
      <c r="A11" s="14">
        <f t="shared" si="1"/>
        <v>8</v>
      </c>
      <c r="B11" s="15" t="s">
        <v>41</v>
      </c>
      <c r="C11" s="16" t="s">
        <v>42</v>
      </c>
      <c r="D11" s="16" t="s">
        <v>43</v>
      </c>
      <c r="E11" s="16" t="s">
        <v>43</v>
      </c>
      <c r="F11" s="16" t="s">
        <v>43</v>
      </c>
    </row>
    <row r="12" ht="30.0" customHeight="1">
      <c r="A12" s="14">
        <f t="shared" si="1"/>
        <v>9</v>
      </c>
      <c r="B12" s="15" t="s">
        <v>44</v>
      </c>
      <c r="C12" s="16" t="s">
        <v>45</v>
      </c>
      <c r="D12" s="16" t="s">
        <v>46</v>
      </c>
      <c r="E12" s="16" t="s">
        <v>47</v>
      </c>
      <c r="F12" s="16" t="s">
        <v>48</v>
      </c>
    </row>
    <row r="13" ht="30.0" customHeight="1">
      <c r="A13" s="14">
        <f t="shared" si="1"/>
        <v>10</v>
      </c>
      <c r="B13" s="15" t="s">
        <v>49</v>
      </c>
      <c r="C13" s="16" t="s">
        <v>50</v>
      </c>
      <c r="D13" s="16" t="s">
        <v>51</v>
      </c>
      <c r="E13" s="16" t="s">
        <v>51</v>
      </c>
      <c r="F13" s="16" t="s">
        <v>51</v>
      </c>
    </row>
    <row r="14" ht="30.0" customHeight="1">
      <c r="A14" s="14">
        <f t="shared" si="1"/>
        <v>11</v>
      </c>
      <c r="B14" s="15" t="s">
        <v>52</v>
      </c>
      <c r="C14" s="16" t="s">
        <v>53</v>
      </c>
      <c r="D14" s="16" t="s">
        <v>54</v>
      </c>
      <c r="E14" s="16" t="s">
        <v>54</v>
      </c>
      <c r="F14" s="16" t="s">
        <v>55</v>
      </c>
    </row>
    <row r="15" ht="30.0" customHeight="1">
      <c r="A15" s="14">
        <f t="shared" si="1"/>
        <v>12</v>
      </c>
      <c r="B15" s="15" t="s">
        <v>56</v>
      </c>
      <c r="C15" s="16" t="s">
        <v>57</v>
      </c>
      <c r="D15" s="16" t="s">
        <v>58</v>
      </c>
      <c r="E15" s="16" t="s">
        <v>59</v>
      </c>
      <c r="F15" s="16" t="s">
        <v>60</v>
      </c>
    </row>
    <row r="16" ht="30.0" customHeight="1">
      <c r="A16" s="14">
        <f t="shared" si="1"/>
        <v>13</v>
      </c>
      <c r="B16" s="15" t="s">
        <v>61</v>
      </c>
      <c r="C16" s="16" t="s">
        <v>62</v>
      </c>
      <c r="D16" s="16" t="s">
        <v>63</v>
      </c>
      <c r="E16" s="16" t="s">
        <v>63</v>
      </c>
      <c r="F16" s="16" t="s">
        <v>64</v>
      </c>
    </row>
    <row r="17" ht="30.0" customHeight="1">
      <c r="A17" s="14">
        <f t="shared" si="1"/>
        <v>14</v>
      </c>
      <c r="B17" s="15" t="s">
        <v>65</v>
      </c>
      <c r="C17" s="16" t="s">
        <v>66</v>
      </c>
      <c r="D17" s="16" t="s">
        <v>67</v>
      </c>
      <c r="E17" s="16" t="s">
        <v>68</v>
      </c>
      <c r="F17" s="16" t="s">
        <v>69</v>
      </c>
    </row>
    <row r="18" ht="27.75" customHeight="1">
      <c r="A18" s="14">
        <f t="shared" si="1"/>
        <v>15</v>
      </c>
      <c r="B18" s="15" t="s">
        <v>70</v>
      </c>
      <c r="C18" s="16" t="s">
        <v>71</v>
      </c>
      <c r="D18" s="16" t="s">
        <v>72</v>
      </c>
      <c r="E18" s="16" t="s">
        <v>70</v>
      </c>
      <c r="F18" s="16" t="s">
        <v>73</v>
      </c>
    </row>
    <row r="19" ht="27.75" customHeight="1">
      <c r="A19" s="14">
        <f t="shared" si="1"/>
        <v>16</v>
      </c>
      <c r="B19" s="15" t="s">
        <v>74</v>
      </c>
      <c r="C19" s="16" t="s">
        <v>75</v>
      </c>
      <c r="D19" s="16" t="s">
        <v>74</v>
      </c>
      <c r="E19" s="16" t="s">
        <v>76</v>
      </c>
      <c r="F19" s="16" t="s">
        <v>77</v>
      </c>
    </row>
    <row r="20" ht="27.75" customHeight="1">
      <c r="A20" s="14">
        <f t="shared" si="1"/>
        <v>17</v>
      </c>
      <c r="B20" s="15" t="s">
        <v>78</v>
      </c>
      <c r="C20" s="16" t="s">
        <v>79</v>
      </c>
      <c r="D20" s="16" t="s">
        <v>80</v>
      </c>
      <c r="E20" s="16" t="s">
        <v>81</v>
      </c>
      <c r="F20" s="16" t="s">
        <v>82</v>
      </c>
    </row>
    <row r="21" ht="27.75" customHeight="1">
      <c r="A21" s="14">
        <f t="shared" si="1"/>
        <v>18</v>
      </c>
      <c r="B21" s="15" t="s">
        <v>83</v>
      </c>
      <c r="C21" s="16" t="s">
        <v>84</v>
      </c>
      <c r="D21" s="16" t="s">
        <v>67</v>
      </c>
      <c r="E21" s="16" t="s">
        <v>81</v>
      </c>
      <c r="F21" s="16" t="s">
        <v>85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1:F1"/>
    <mergeCell ref="A3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17" t="s">
        <v>86</v>
      </c>
      <c r="B1" s="3"/>
      <c r="C1" s="3"/>
      <c r="D1" s="4"/>
      <c r="E1" s="5"/>
      <c r="F1" s="5"/>
      <c r="G1" s="5"/>
      <c r="H1" s="5"/>
      <c r="I1" s="5"/>
    </row>
    <row r="2" ht="69.0" customHeight="1">
      <c r="A2" s="18" t="s">
        <v>87</v>
      </c>
      <c r="B2" s="3"/>
      <c r="C2" s="3"/>
      <c r="D2" s="4"/>
      <c r="E2" s="5"/>
      <c r="F2" s="5"/>
      <c r="G2" s="5"/>
      <c r="H2" s="5"/>
      <c r="I2" s="5"/>
    </row>
    <row r="3" ht="36.0" customHeight="1">
      <c r="A3" s="19" t="s">
        <v>1</v>
      </c>
      <c r="B3" s="19" t="s">
        <v>88</v>
      </c>
      <c r="C3" s="6" t="s">
        <v>89</v>
      </c>
      <c r="D3" s="6" t="s">
        <v>90</v>
      </c>
    </row>
    <row r="4" ht="37.5" customHeight="1">
      <c r="A4" s="14">
        <v>1.0</v>
      </c>
      <c r="B4" s="20" t="s">
        <v>91</v>
      </c>
      <c r="C4" s="21" t="s">
        <v>92</v>
      </c>
      <c r="D4" s="21" t="s">
        <v>93</v>
      </c>
    </row>
    <row r="5" ht="37.5" customHeight="1">
      <c r="A5" s="14">
        <f t="shared" ref="A5:A28" si="1">A4+1</f>
        <v>2</v>
      </c>
      <c r="B5" s="20" t="s">
        <v>94</v>
      </c>
      <c r="C5" s="21" t="s">
        <v>95</v>
      </c>
      <c r="D5" s="21" t="s">
        <v>96</v>
      </c>
    </row>
    <row r="6" ht="37.5" customHeight="1">
      <c r="A6" s="14">
        <f t="shared" si="1"/>
        <v>3</v>
      </c>
      <c r="B6" s="20" t="s">
        <v>97</v>
      </c>
      <c r="C6" s="21" t="s">
        <v>98</v>
      </c>
      <c r="D6" s="21" t="s">
        <v>99</v>
      </c>
    </row>
    <row r="7" ht="37.5" customHeight="1">
      <c r="A7" s="14">
        <f t="shared" si="1"/>
        <v>4</v>
      </c>
      <c r="B7" s="20" t="s">
        <v>100</v>
      </c>
      <c r="C7" s="21" t="s">
        <v>101</v>
      </c>
      <c r="D7" s="21" t="s">
        <v>102</v>
      </c>
    </row>
    <row r="8" ht="37.5" customHeight="1">
      <c r="A8" s="14">
        <f t="shared" si="1"/>
        <v>5</v>
      </c>
      <c r="B8" s="20" t="s">
        <v>103</v>
      </c>
      <c r="C8" s="21" t="s">
        <v>104</v>
      </c>
      <c r="D8" s="21" t="s">
        <v>105</v>
      </c>
    </row>
    <row r="9" ht="37.5" customHeight="1">
      <c r="A9" s="14">
        <f t="shared" si="1"/>
        <v>6</v>
      </c>
      <c r="B9" s="20" t="s">
        <v>106</v>
      </c>
      <c r="C9" s="21" t="s">
        <v>107</v>
      </c>
      <c r="D9" s="21" t="s">
        <v>108</v>
      </c>
    </row>
    <row r="10" ht="37.5" customHeight="1">
      <c r="A10" s="14">
        <f t="shared" si="1"/>
        <v>7</v>
      </c>
      <c r="B10" s="20" t="s">
        <v>109</v>
      </c>
      <c r="C10" s="21" t="s">
        <v>110</v>
      </c>
      <c r="D10" s="21" t="s">
        <v>111</v>
      </c>
    </row>
    <row r="11" ht="37.5" customHeight="1">
      <c r="A11" s="14">
        <f t="shared" si="1"/>
        <v>8</v>
      </c>
      <c r="B11" s="20" t="s">
        <v>112</v>
      </c>
      <c r="C11" s="21" t="s">
        <v>113</v>
      </c>
      <c r="D11" s="21" t="s">
        <v>114</v>
      </c>
    </row>
    <row r="12" ht="37.5" customHeight="1">
      <c r="A12" s="14">
        <f t="shared" si="1"/>
        <v>9</v>
      </c>
      <c r="B12" s="20" t="s">
        <v>115</v>
      </c>
      <c r="C12" s="21" t="s">
        <v>116</v>
      </c>
      <c r="D12" s="21" t="s">
        <v>117</v>
      </c>
    </row>
    <row r="13" ht="37.5" customHeight="1">
      <c r="A13" s="14">
        <f t="shared" si="1"/>
        <v>10</v>
      </c>
      <c r="B13" s="20" t="s">
        <v>118</v>
      </c>
      <c r="C13" s="20" t="s">
        <v>119</v>
      </c>
      <c r="D13" s="20" t="s">
        <v>120</v>
      </c>
    </row>
    <row r="14" ht="37.5" customHeight="1">
      <c r="A14" s="14">
        <f t="shared" si="1"/>
        <v>11</v>
      </c>
      <c r="B14" s="20" t="s">
        <v>121</v>
      </c>
      <c r="C14" s="20" t="s">
        <v>122</v>
      </c>
      <c r="D14" s="20" t="s">
        <v>123</v>
      </c>
    </row>
    <row r="15" ht="37.5" customHeight="1">
      <c r="A15" s="14">
        <f t="shared" si="1"/>
        <v>12</v>
      </c>
      <c r="B15" s="22" t="s">
        <v>124</v>
      </c>
      <c r="C15" s="22" t="s">
        <v>125</v>
      </c>
      <c r="D15" s="22" t="s">
        <v>126</v>
      </c>
    </row>
    <row r="16" ht="37.5" customHeight="1">
      <c r="A16" s="14">
        <f t="shared" si="1"/>
        <v>13</v>
      </c>
      <c r="B16" s="22" t="s">
        <v>127</v>
      </c>
      <c r="C16" s="22" t="s">
        <v>128</v>
      </c>
      <c r="D16" s="22" t="s">
        <v>129</v>
      </c>
    </row>
    <row r="17" ht="37.5" customHeight="1">
      <c r="A17" s="14">
        <f t="shared" si="1"/>
        <v>14</v>
      </c>
      <c r="B17" s="22" t="s">
        <v>130</v>
      </c>
      <c r="C17" s="22" t="s">
        <v>131</v>
      </c>
      <c r="D17" s="22" t="s">
        <v>132</v>
      </c>
    </row>
    <row r="18" ht="37.5" customHeight="1">
      <c r="A18" s="14">
        <f t="shared" si="1"/>
        <v>15</v>
      </c>
      <c r="B18" s="22" t="s">
        <v>133</v>
      </c>
      <c r="C18" s="22" t="s">
        <v>134</v>
      </c>
      <c r="D18" s="22" t="s">
        <v>132</v>
      </c>
    </row>
    <row r="19" ht="37.5" customHeight="1">
      <c r="A19" s="14">
        <f t="shared" si="1"/>
        <v>16</v>
      </c>
      <c r="B19" s="22" t="s">
        <v>135</v>
      </c>
      <c r="C19" s="22" t="s">
        <v>136</v>
      </c>
      <c r="D19" s="22" t="s">
        <v>132</v>
      </c>
    </row>
    <row r="20" ht="37.5" customHeight="1">
      <c r="A20" s="14">
        <f t="shared" si="1"/>
        <v>17</v>
      </c>
      <c r="B20" s="23"/>
      <c r="C20" s="23"/>
      <c r="D20" s="23"/>
    </row>
    <row r="21" ht="37.5" customHeight="1">
      <c r="A21" s="14">
        <f t="shared" si="1"/>
        <v>18</v>
      </c>
      <c r="B21" s="23"/>
      <c r="C21" s="23"/>
      <c r="D21" s="23"/>
    </row>
    <row r="22" ht="37.5" customHeight="1">
      <c r="A22" s="14">
        <f t="shared" si="1"/>
        <v>19</v>
      </c>
      <c r="B22" s="23"/>
      <c r="C22" s="23"/>
      <c r="D22" s="23"/>
    </row>
    <row r="23" ht="37.5" customHeight="1">
      <c r="A23" s="14">
        <f t="shared" si="1"/>
        <v>20</v>
      </c>
      <c r="B23" s="23"/>
      <c r="C23" s="23"/>
      <c r="D23" s="23"/>
    </row>
    <row r="24" ht="37.5" customHeight="1">
      <c r="A24" s="14">
        <f t="shared" si="1"/>
        <v>21</v>
      </c>
      <c r="B24" s="23"/>
      <c r="C24" s="23"/>
      <c r="D24" s="23"/>
    </row>
    <row r="25" ht="37.5" customHeight="1">
      <c r="A25" s="14">
        <f t="shared" si="1"/>
        <v>22</v>
      </c>
      <c r="B25" s="23"/>
      <c r="C25" s="23"/>
      <c r="D25" s="23"/>
    </row>
    <row r="26" ht="37.5" customHeight="1">
      <c r="A26" s="14">
        <f t="shared" si="1"/>
        <v>23</v>
      </c>
      <c r="B26" s="23"/>
      <c r="C26" s="23"/>
      <c r="D26" s="23"/>
    </row>
    <row r="27" ht="37.5" customHeight="1">
      <c r="A27" s="14">
        <f t="shared" si="1"/>
        <v>24</v>
      </c>
      <c r="B27" s="23"/>
      <c r="C27" s="23"/>
      <c r="D27" s="23"/>
    </row>
    <row r="28" ht="37.5" customHeight="1">
      <c r="A28" s="14">
        <f t="shared" si="1"/>
        <v>25</v>
      </c>
      <c r="B28" s="23"/>
      <c r="C28" s="23"/>
      <c r="D28" s="2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9.25"/>
    <col customWidth="1" min="24" max="24" width="17.0"/>
    <col customWidth="1" min="25" max="25" width="30.38"/>
  </cols>
  <sheetData>
    <row r="1" ht="39.0" customHeight="1">
      <c r="A1" s="24" t="s">
        <v>137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8.5" customHeight="1"/>
    <row r="3" ht="62.25" customHeight="1">
      <c r="A3" s="25">
        <f>'Invetario de Tablas'!A4</f>
        <v>1</v>
      </c>
      <c r="B3" s="26" t="s">
        <v>88</v>
      </c>
      <c r="C3" s="27" t="str">
        <f>'Invetario de Tablas'!B4</f>
        <v>rol</v>
      </c>
      <c r="D3" s="28"/>
      <c r="E3" s="28"/>
      <c r="F3" s="29"/>
      <c r="G3" s="30" t="s">
        <v>89</v>
      </c>
      <c r="H3" s="28"/>
      <c r="I3" s="28"/>
      <c r="J3" s="29"/>
      <c r="K3" s="31" t="str">
        <f>'Invetario de Tablas'!C4</f>
        <v>Define los tipos de usuario del sistema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/>
      <c r="X3" s="32" t="s">
        <v>138</v>
      </c>
      <c r="Y3" s="33">
        <v>18.0</v>
      </c>
    </row>
    <row r="4" ht="42.75" customHeight="1">
      <c r="A4" s="34" t="s">
        <v>1</v>
      </c>
      <c r="B4" s="7" t="s">
        <v>139</v>
      </c>
      <c r="C4" s="35" t="s">
        <v>140</v>
      </c>
      <c r="D4" s="11"/>
      <c r="E4" s="11"/>
      <c r="F4" s="12"/>
      <c r="G4" s="35" t="s">
        <v>141</v>
      </c>
      <c r="H4" s="11"/>
      <c r="I4" s="11"/>
      <c r="J4" s="12"/>
      <c r="K4" s="35" t="s">
        <v>142</v>
      </c>
      <c r="L4" s="11"/>
      <c r="M4" s="11"/>
      <c r="N4" s="12"/>
      <c r="O4" s="35" t="s">
        <v>143</v>
      </c>
      <c r="P4" s="11"/>
      <c r="Q4" s="12"/>
      <c r="R4" s="35" t="s">
        <v>144</v>
      </c>
      <c r="S4" s="12"/>
      <c r="T4" s="35" t="s">
        <v>145</v>
      </c>
      <c r="U4" s="12"/>
      <c r="V4" s="35" t="s">
        <v>146</v>
      </c>
      <c r="W4" s="12"/>
      <c r="X4" s="35" t="s">
        <v>147</v>
      </c>
      <c r="Y4" s="36"/>
    </row>
    <row r="5" ht="30.0" customHeight="1">
      <c r="A5" s="37">
        <v>1.0</v>
      </c>
      <c r="B5" s="38" t="s">
        <v>148</v>
      </c>
      <c r="C5" s="39" t="s">
        <v>149</v>
      </c>
      <c r="D5" s="11"/>
      <c r="E5" s="11"/>
      <c r="F5" s="12"/>
      <c r="G5" s="39" t="s">
        <v>150</v>
      </c>
      <c r="H5" s="11"/>
      <c r="I5" s="11"/>
      <c r="J5" s="12"/>
      <c r="K5" s="39"/>
      <c r="L5" s="11"/>
      <c r="M5" s="11"/>
      <c r="N5" s="12"/>
      <c r="O5" s="39" t="s">
        <v>151</v>
      </c>
      <c r="P5" s="11"/>
      <c r="Q5" s="12"/>
      <c r="R5" s="39" t="s">
        <v>152</v>
      </c>
      <c r="S5" s="12"/>
      <c r="T5" s="39"/>
      <c r="U5" s="12"/>
      <c r="V5" s="39" t="s">
        <v>152</v>
      </c>
      <c r="W5" s="12"/>
      <c r="X5" s="39" t="s">
        <v>153</v>
      </c>
      <c r="Y5" s="36"/>
    </row>
    <row r="6" ht="30.0" customHeight="1">
      <c r="A6" s="37">
        <v>2.0</v>
      </c>
      <c r="B6" s="38" t="s">
        <v>154</v>
      </c>
      <c r="C6" s="39" t="s">
        <v>155</v>
      </c>
      <c r="D6" s="11"/>
      <c r="E6" s="11"/>
      <c r="F6" s="12"/>
      <c r="G6" s="39" t="s">
        <v>156</v>
      </c>
      <c r="H6" s="11"/>
      <c r="I6" s="11"/>
      <c r="J6" s="12"/>
      <c r="K6" s="39">
        <v>50.0</v>
      </c>
      <c r="L6" s="11"/>
      <c r="M6" s="11"/>
      <c r="N6" s="12"/>
      <c r="O6" s="39" t="s">
        <v>151</v>
      </c>
      <c r="P6" s="11"/>
      <c r="Q6" s="12"/>
      <c r="R6" s="39"/>
      <c r="S6" s="12"/>
      <c r="T6" s="39"/>
      <c r="U6" s="12"/>
      <c r="V6" s="39" t="s">
        <v>152</v>
      </c>
      <c r="W6" s="12"/>
      <c r="X6" s="39" t="s">
        <v>157</v>
      </c>
      <c r="Y6" s="36"/>
    </row>
    <row r="7" ht="19.5" customHeight="1"/>
    <row r="8" ht="39.75" customHeight="1">
      <c r="A8" s="25">
        <f>'Invetario de Tablas'!A5</f>
        <v>2</v>
      </c>
      <c r="B8" s="30" t="s">
        <v>88</v>
      </c>
      <c r="C8" s="27" t="str">
        <f>'Invetario de Tablas'!B5</f>
        <v>usuario</v>
      </c>
      <c r="D8" s="28"/>
      <c r="E8" s="28"/>
      <c r="F8" s="29"/>
      <c r="G8" s="30" t="s">
        <v>89</v>
      </c>
      <c r="H8" s="28"/>
      <c r="I8" s="28"/>
      <c r="J8" s="29"/>
      <c r="K8" s="31" t="str">
        <f>'Invetario de Tablas'!C5</f>
        <v>Usuarios del sistema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9"/>
      <c r="X8" s="32" t="s">
        <v>138</v>
      </c>
      <c r="Y8" s="33">
        <v>18.0</v>
      </c>
    </row>
    <row r="9" ht="33.75" customHeight="1">
      <c r="A9" s="34" t="s">
        <v>1</v>
      </c>
      <c r="B9" s="7" t="s">
        <v>139</v>
      </c>
      <c r="C9" s="35" t="s">
        <v>140</v>
      </c>
      <c r="D9" s="11"/>
      <c r="E9" s="11"/>
      <c r="F9" s="12"/>
      <c r="G9" s="35" t="s">
        <v>141</v>
      </c>
      <c r="H9" s="11"/>
      <c r="I9" s="11"/>
      <c r="J9" s="12"/>
      <c r="K9" s="35" t="s">
        <v>142</v>
      </c>
      <c r="L9" s="11"/>
      <c r="M9" s="11"/>
      <c r="N9" s="12"/>
      <c r="O9" s="35" t="s">
        <v>143</v>
      </c>
      <c r="P9" s="11"/>
      <c r="Q9" s="12"/>
      <c r="R9" s="35" t="s">
        <v>144</v>
      </c>
      <c r="S9" s="12"/>
      <c r="T9" s="35" t="s">
        <v>145</v>
      </c>
      <c r="U9" s="12"/>
      <c r="V9" s="35" t="s">
        <v>146</v>
      </c>
      <c r="W9" s="12"/>
      <c r="X9" s="35" t="s">
        <v>147</v>
      </c>
      <c r="Y9" s="36"/>
    </row>
    <row r="10" ht="33.0" customHeight="1">
      <c r="A10" s="40">
        <v>1.0</v>
      </c>
      <c r="B10" s="38" t="s">
        <v>158</v>
      </c>
      <c r="C10" s="39" t="s">
        <v>159</v>
      </c>
      <c r="D10" s="11"/>
      <c r="E10" s="11"/>
      <c r="F10" s="12"/>
      <c r="G10" s="39" t="s">
        <v>150</v>
      </c>
      <c r="H10" s="11"/>
      <c r="I10" s="11"/>
      <c r="J10" s="12"/>
      <c r="K10" s="39"/>
      <c r="L10" s="11"/>
      <c r="M10" s="11"/>
      <c r="N10" s="12"/>
      <c r="O10" s="39" t="s">
        <v>151</v>
      </c>
      <c r="P10" s="11"/>
      <c r="Q10" s="12"/>
      <c r="R10" s="39" t="s">
        <v>152</v>
      </c>
      <c r="S10" s="12"/>
      <c r="T10" s="39"/>
      <c r="U10" s="12"/>
      <c r="V10" s="39" t="s">
        <v>152</v>
      </c>
      <c r="W10" s="12"/>
      <c r="X10" s="39" t="s">
        <v>153</v>
      </c>
      <c r="Y10" s="36"/>
    </row>
    <row r="11" ht="31.5" customHeight="1">
      <c r="A11" s="40">
        <v>2.0</v>
      </c>
      <c r="B11" s="38" t="s">
        <v>154</v>
      </c>
      <c r="C11" s="39" t="s">
        <v>160</v>
      </c>
      <c r="D11" s="11"/>
      <c r="E11" s="11"/>
      <c r="F11" s="12"/>
      <c r="G11" s="39" t="s">
        <v>156</v>
      </c>
      <c r="H11" s="11"/>
      <c r="I11" s="11"/>
      <c r="J11" s="12"/>
      <c r="K11" s="39">
        <v>100.0</v>
      </c>
      <c r="L11" s="11"/>
      <c r="M11" s="11"/>
      <c r="N11" s="12"/>
      <c r="O11" s="39" t="s">
        <v>151</v>
      </c>
      <c r="P11" s="11"/>
      <c r="Q11" s="12"/>
      <c r="R11" s="39"/>
      <c r="S11" s="12"/>
      <c r="T11" s="39"/>
      <c r="U11" s="12"/>
      <c r="V11" s="39"/>
      <c r="W11" s="12"/>
      <c r="X11" s="39"/>
      <c r="Y11" s="36"/>
    </row>
    <row r="12" ht="24.75" customHeight="1">
      <c r="A12" s="40">
        <v>3.0</v>
      </c>
      <c r="B12" s="38" t="s">
        <v>161</v>
      </c>
      <c r="C12" s="39" t="s">
        <v>162</v>
      </c>
      <c r="D12" s="11"/>
      <c r="E12" s="11"/>
      <c r="F12" s="12"/>
      <c r="G12" s="39" t="s">
        <v>156</v>
      </c>
      <c r="H12" s="11"/>
      <c r="I12" s="11"/>
      <c r="J12" s="12"/>
      <c r="K12" s="39">
        <v>100.0</v>
      </c>
      <c r="L12" s="11"/>
      <c r="M12" s="11"/>
      <c r="N12" s="12"/>
      <c r="O12" s="39" t="s">
        <v>151</v>
      </c>
      <c r="P12" s="11"/>
      <c r="Q12" s="12"/>
      <c r="R12" s="39"/>
      <c r="S12" s="12"/>
      <c r="T12" s="39"/>
      <c r="U12" s="12"/>
      <c r="V12" s="39" t="s">
        <v>152</v>
      </c>
      <c r="W12" s="12"/>
      <c r="X12" s="39" t="s">
        <v>163</v>
      </c>
      <c r="Y12" s="36"/>
    </row>
    <row r="13" ht="24.75" customHeight="1">
      <c r="A13" s="40">
        <v>4.0</v>
      </c>
      <c r="B13" s="38" t="s">
        <v>148</v>
      </c>
      <c r="C13" s="39" t="s">
        <v>164</v>
      </c>
      <c r="D13" s="11"/>
      <c r="E13" s="11"/>
      <c r="F13" s="12"/>
      <c r="G13" s="39" t="s">
        <v>165</v>
      </c>
      <c r="H13" s="11"/>
      <c r="I13" s="11"/>
      <c r="J13" s="12"/>
      <c r="K13" s="39"/>
      <c r="L13" s="11"/>
      <c r="M13" s="11"/>
      <c r="N13" s="12"/>
      <c r="O13" s="39" t="s">
        <v>151</v>
      </c>
      <c r="P13" s="11"/>
      <c r="Q13" s="12"/>
      <c r="R13" s="39"/>
      <c r="S13" s="12"/>
      <c r="T13" s="39" t="s">
        <v>152</v>
      </c>
      <c r="U13" s="12"/>
      <c r="V13" s="39"/>
      <c r="W13" s="12"/>
      <c r="X13" s="39" t="s">
        <v>166</v>
      </c>
      <c r="Y13" s="36"/>
    </row>
    <row r="14" ht="19.5" customHeight="1"/>
    <row r="15" ht="30.0" customHeight="1">
      <c r="A15" s="25">
        <v>3.0</v>
      </c>
      <c r="B15" s="30" t="s">
        <v>88</v>
      </c>
      <c r="C15" s="41" t="s">
        <v>97</v>
      </c>
      <c r="D15" s="28"/>
      <c r="E15" s="28"/>
      <c r="F15" s="29"/>
      <c r="G15" s="30" t="s">
        <v>89</v>
      </c>
      <c r="H15" s="28"/>
      <c r="I15" s="28"/>
      <c r="J15" s="29"/>
      <c r="K15" s="31" t="s">
        <v>98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9"/>
      <c r="X15" s="32" t="s">
        <v>138</v>
      </c>
      <c r="Y15" s="33">
        <v>18.0</v>
      </c>
    </row>
    <row r="16" ht="30.0" customHeight="1">
      <c r="A16" s="34" t="s">
        <v>1</v>
      </c>
      <c r="B16" s="7" t="s">
        <v>139</v>
      </c>
      <c r="C16" s="35" t="s">
        <v>140</v>
      </c>
      <c r="D16" s="11"/>
      <c r="E16" s="11"/>
      <c r="F16" s="12"/>
      <c r="G16" s="35" t="s">
        <v>141</v>
      </c>
      <c r="H16" s="11"/>
      <c r="I16" s="11"/>
      <c r="J16" s="12"/>
      <c r="K16" s="35" t="s">
        <v>142</v>
      </c>
      <c r="L16" s="11"/>
      <c r="M16" s="11"/>
      <c r="N16" s="12"/>
      <c r="O16" s="35" t="s">
        <v>143</v>
      </c>
      <c r="P16" s="11"/>
      <c r="Q16" s="12"/>
      <c r="R16" s="35" t="s">
        <v>144</v>
      </c>
      <c r="S16" s="12"/>
      <c r="T16" s="35" t="s">
        <v>145</v>
      </c>
      <c r="U16" s="12"/>
      <c r="V16" s="35" t="s">
        <v>146</v>
      </c>
      <c r="W16" s="12"/>
      <c r="X16" s="35" t="s">
        <v>147</v>
      </c>
      <c r="Y16" s="36"/>
    </row>
    <row r="17" ht="30.0" customHeight="1">
      <c r="A17" s="40">
        <v>1.0</v>
      </c>
      <c r="B17" s="38" t="s">
        <v>167</v>
      </c>
      <c r="C17" s="39" t="s">
        <v>168</v>
      </c>
      <c r="D17" s="11"/>
      <c r="E17" s="11"/>
      <c r="F17" s="12"/>
      <c r="G17" s="39" t="s">
        <v>150</v>
      </c>
      <c r="H17" s="11"/>
      <c r="I17" s="11"/>
      <c r="J17" s="12"/>
      <c r="K17" s="39"/>
      <c r="L17" s="11"/>
      <c r="M17" s="11"/>
      <c r="N17" s="12"/>
      <c r="O17" s="39" t="s">
        <v>151</v>
      </c>
      <c r="P17" s="11"/>
      <c r="Q17" s="12"/>
      <c r="R17" s="39" t="s">
        <v>152</v>
      </c>
      <c r="S17" s="12"/>
      <c r="T17" s="39"/>
      <c r="U17" s="12"/>
      <c r="V17" s="39" t="s">
        <v>152</v>
      </c>
      <c r="W17" s="12"/>
      <c r="X17" s="39" t="s">
        <v>153</v>
      </c>
      <c r="Y17" s="36"/>
    </row>
    <row r="18" ht="30.0" customHeight="1">
      <c r="A18" s="40">
        <v>2.0</v>
      </c>
      <c r="B18" s="38" t="s">
        <v>169</v>
      </c>
      <c r="C18" s="39" t="s">
        <v>170</v>
      </c>
      <c r="D18" s="11"/>
      <c r="E18" s="11"/>
      <c r="F18" s="12"/>
      <c r="G18" s="39" t="s">
        <v>156</v>
      </c>
      <c r="H18" s="11"/>
      <c r="I18" s="11"/>
      <c r="J18" s="12"/>
      <c r="K18" s="39">
        <v>150.0</v>
      </c>
      <c r="L18" s="11"/>
      <c r="M18" s="11"/>
      <c r="N18" s="12"/>
      <c r="O18" s="39" t="s">
        <v>151</v>
      </c>
      <c r="P18" s="11"/>
      <c r="Q18" s="12"/>
      <c r="R18" s="39"/>
      <c r="S18" s="12"/>
      <c r="T18" s="39"/>
      <c r="U18" s="12"/>
      <c r="V18" s="39"/>
      <c r="W18" s="12"/>
      <c r="X18" s="39"/>
      <c r="Y18" s="36"/>
    </row>
    <row r="19" ht="17.25" customHeight="1"/>
    <row r="20" ht="28.5" customHeight="1">
      <c r="A20" s="25">
        <v>4.0</v>
      </c>
      <c r="B20" s="30" t="s">
        <v>88</v>
      </c>
      <c r="C20" s="41" t="s">
        <v>100</v>
      </c>
      <c r="D20" s="28"/>
      <c r="E20" s="28"/>
      <c r="F20" s="29"/>
      <c r="G20" s="30" t="s">
        <v>89</v>
      </c>
      <c r="H20" s="28"/>
      <c r="I20" s="28"/>
      <c r="J20" s="29"/>
      <c r="K20" s="31" t="s">
        <v>171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9"/>
      <c r="X20" s="32" t="s">
        <v>138</v>
      </c>
      <c r="Y20" s="33">
        <v>18.0</v>
      </c>
    </row>
    <row r="21" ht="27.0" customHeight="1">
      <c r="A21" s="34" t="s">
        <v>1</v>
      </c>
      <c r="B21" s="7" t="s">
        <v>139</v>
      </c>
      <c r="C21" s="35" t="s">
        <v>140</v>
      </c>
      <c r="D21" s="11"/>
      <c r="E21" s="11"/>
      <c r="F21" s="12"/>
      <c r="G21" s="35" t="s">
        <v>141</v>
      </c>
      <c r="H21" s="11"/>
      <c r="I21" s="11"/>
      <c r="J21" s="12"/>
      <c r="K21" s="35" t="s">
        <v>142</v>
      </c>
      <c r="L21" s="11"/>
      <c r="M21" s="11"/>
      <c r="N21" s="12"/>
      <c r="O21" s="35" t="s">
        <v>143</v>
      </c>
      <c r="P21" s="11"/>
      <c r="Q21" s="12"/>
      <c r="R21" s="35" t="s">
        <v>144</v>
      </c>
      <c r="S21" s="12"/>
      <c r="T21" s="35" t="s">
        <v>145</v>
      </c>
      <c r="U21" s="12"/>
      <c r="V21" s="35" t="s">
        <v>146</v>
      </c>
      <c r="W21" s="12"/>
      <c r="X21" s="35" t="s">
        <v>147</v>
      </c>
      <c r="Y21" s="36"/>
    </row>
    <row r="22" ht="19.5" customHeight="1">
      <c r="A22" s="40">
        <v>1.0</v>
      </c>
      <c r="B22" s="38" t="s">
        <v>172</v>
      </c>
      <c r="C22" s="39" t="s">
        <v>159</v>
      </c>
      <c r="D22" s="11"/>
      <c r="E22" s="11"/>
      <c r="F22" s="12"/>
      <c r="G22" s="39" t="s">
        <v>150</v>
      </c>
      <c r="H22" s="11"/>
      <c r="I22" s="11"/>
      <c r="J22" s="12"/>
      <c r="K22" s="39"/>
      <c r="L22" s="11"/>
      <c r="M22" s="11"/>
      <c r="N22" s="12"/>
      <c r="O22" s="39" t="s">
        <v>151</v>
      </c>
      <c r="P22" s="11"/>
      <c r="Q22" s="12"/>
      <c r="R22" s="39" t="s">
        <v>152</v>
      </c>
      <c r="S22" s="12"/>
      <c r="T22" s="39"/>
      <c r="U22" s="12"/>
      <c r="V22" s="39" t="s">
        <v>152</v>
      </c>
      <c r="W22" s="12"/>
      <c r="X22" s="39" t="s">
        <v>153</v>
      </c>
      <c r="Y22" s="36"/>
    </row>
    <row r="23" ht="28.5" customHeight="1">
      <c r="A23" s="40">
        <v>2.0</v>
      </c>
      <c r="B23" s="38" t="s">
        <v>167</v>
      </c>
      <c r="C23" s="39" t="s">
        <v>160</v>
      </c>
      <c r="D23" s="11"/>
      <c r="E23" s="11"/>
      <c r="F23" s="12"/>
      <c r="G23" s="39" t="s">
        <v>165</v>
      </c>
      <c r="H23" s="11"/>
      <c r="I23" s="11"/>
      <c r="J23" s="12"/>
      <c r="K23" s="39"/>
      <c r="L23" s="11"/>
      <c r="M23" s="11"/>
      <c r="N23" s="12"/>
      <c r="O23" s="39" t="s">
        <v>151</v>
      </c>
      <c r="P23" s="11"/>
      <c r="Q23" s="12"/>
      <c r="R23" s="39"/>
      <c r="S23" s="12"/>
      <c r="T23" s="39" t="s">
        <v>152</v>
      </c>
      <c r="U23" s="12"/>
      <c r="V23" s="39"/>
      <c r="W23" s="12"/>
      <c r="X23" s="39" t="s">
        <v>173</v>
      </c>
      <c r="Y23" s="36"/>
    </row>
    <row r="24" ht="21.75" customHeight="1">
      <c r="A24" s="40">
        <v>3.0</v>
      </c>
      <c r="B24" s="38" t="s">
        <v>174</v>
      </c>
      <c r="C24" s="39" t="s">
        <v>162</v>
      </c>
      <c r="D24" s="11"/>
      <c r="E24" s="11"/>
      <c r="F24" s="12"/>
      <c r="G24" s="39" t="s">
        <v>156</v>
      </c>
      <c r="H24" s="11"/>
      <c r="I24" s="11"/>
      <c r="J24" s="12"/>
      <c r="K24" s="39">
        <v>50.0</v>
      </c>
      <c r="L24" s="11"/>
      <c r="M24" s="11"/>
      <c r="N24" s="12"/>
      <c r="O24" s="39" t="s">
        <v>175</v>
      </c>
      <c r="P24" s="11"/>
      <c r="Q24" s="12"/>
      <c r="R24" s="39"/>
      <c r="S24" s="12"/>
      <c r="T24" s="39"/>
      <c r="U24" s="12"/>
      <c r="V24" s="39"/>
      <c r="W24" s="12"/>
      <c r="X24" s="39"/>
      <c r="Y24" s="36"/>
    </row>
    <row r="25" ht="24.75" customHeight="1"/>
    <row r="26" ht="15.75" customHeight="1"/>
    <row r="27" ht="24.75" customHeight="1">
      <c r="A27" s="25">
        <v>5.0</v>
      </c>
      <c r="B27" s="30" t="s">
        <v>88</v>
      </c>
      <c r="C27" s="41" t="s">
        <v>103</v>
      </c>
      <c r="D27" s="28"/>
      <c r="E27" s="28"/>
      <c r="F27" s="29"/>
      <c r="G27" s="30" t="s">
        <v>89</v>
      </c>
      <c r="H27" s="28"/>
      <c r="I27" s="28"/>
      <c r="J27" s="29"/>
      <c r="K27" s="31" t="s">
        <v>176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9"/>
      <c r="X27" s="32" t="s">
        <v>138</v>
      </c>
      <c r="Y27" s="33">
        <v>18.0</v>
      </c>
    </row>
    <row r="28" ht="22.5" customHeight="1">
      <c r="A28" s="34" t="s">
        <v>1</v>
      </c>
      <c r="B28" s="7" t="s">
        <v>139</v>
      </c>
      <c r="C28" s="35" t="s">
        <v>140</v>
      </c>
      <c r="D28" s="11"/>
      <c r="E28" s="11"/>
      <c r="F28" s="12"/>
      <c r="G28" s="35" t="s">
        <v>141</v>
      </c>
      <c r="H28" s="11"/>
      <c r="I28" s="11"/>
      <c r="J28" s="12"/>
      <c r="K28" s="35" t="s">
        <v>142</v>
      </c>
      <c r="L28" s="11"/>
      <c r="M28" s="11"/>
      <c r="N28" s="12"/>
      <c r="O28" s="35" t="s">
        <v>143</v>
      </c>
      <c r="P28" s="11"/>
      <c r="Q28" s="12"/>
      <c r="R28" s="35" t="s">
        <v>144</v>
      </c>
      <c r="S28" s="12"/>
      <c r="T28" s="35" t="s">
        <v>145</v>
      </c>
      <c r="U28" s="12"/>
      <c r="V28" s="35" t="s">
        <v>146</v>
      </c>
      <c r="W28" s="12"/>
      <c r="X28" s="35" t="s">
        <v>147</v>
      </c>
      <c r="Y28" s="36"/>
    </row>
    <row r="29" ht="24.75" customHeight="1">
      <c r="A29" s="40">
        <v>1.0</v>
      </c>
      <c r="B29" s="38" t="s">
        <v>177</v>
      </c>
      <c r="C29" s="39" t="s">
        <v>168</v>
      </c>
      <c r="D29" s="11"/>
      <c r="E29" s="11"/>
      <c r="F29" s="12"/>
      <c r="G29" s="39" t="s">
        <v>150</v>
      </c>
      <c r="H29" s="11"/>
      <c r="I29" s="11"/>
      <c r="J29" s="12"/>
      <c r="K29" s="39"/>
      <c r="L29" s="11"/>
      <c r="M29" s="11"/>
      <c r="N29" s="12"/>
      <c r="O29" s="39" t="s">
        <v>151</v>
      </c>
      <c r="P29" s="11"/>
      <c r="Q29" s="12"/>
      <c r="R29" s="39" t="s">
        <v>152</v>
      </c>
      <c r="S29" s="12"/>
      <c r="T29" s="39"/>
      <c r="U29" s="12"/>
      <c r="V29" s="39" t="s">
        <v>152</v>
      </c>
      <c r="W29" s="12"/>
      <c r="X29" s="39" t="s">
        <v>153</v>
      </c>
      <c r="Y29" s="36"/>
    </row>
    <row r="30" ht="27.0" customHeight="1">
      <c r="A30" s="40">
        <v>2.0</v>
      </c>
      <c r="B30" s="38" t="s">
        <v>178</v>
      </c>
      <c r="C30" s="39" t="s">
        <v>179</v>
      </c>
      <c r="D30" s="11"/>
      <c r="E30" s="11"/>
      <c r="F30" s="12"/>
      <c r="G30" s="39" t="s">
        <v>165</v>
      </c>
      <c r="H30" s="11"/>
      <c r="I30" s="11"/>
      <c r="J30" s="12"/>
      <c r="K30" s="39"/>
      <c r="L30" s="11"/>
      <c r="M30" s="11"/>
      <c r="N30" s="12"/>
      <c r="O30" s="39" t="s">
        <v>151</v>
      </c>
      <c r="P30" s="11"/>
      <c r="Q30" s="12"/>
      <c r="R30" s="39"/>
      <c r="S30" s="12"/>
      <c r="T30" s="42" t="s">
        <v>152</v>
      </c>
      <c r="U30" s="12"/>
      <c r="V30" s="39"/>
      <c r="W30" s="12"/>
      <c r="X30" s="39" t="s">
        <v>180</v>
      </c>
      <c r="Y30" s="36"/>
    </row>
    <row r="31" ht="28.5" customHeight="1">
      <c r="A31" s="40">
        <v>3.0</v>
      </c>
      <c r="B31" s="38" t="s">
        <v>181</v>
      </c>
      <c r="C31" s="39" t="s">
        <v>182</v>
      </c>
      <c r="D31" s="11"/>
      <c r="E31" s="11"/>
      <c r="F31" s="12"/>
      <c r="G31" s="39" t="s">
        <v>156</v>
      </c>
      <c r="H31" s="11"/>
      <c r="I31" s="11"/>
      <c r="J31" s="12"/>
      <c r="K31" s="39">
        <v>50.0</v>
      </c>
      <c r="L31" s="11"/>
      <c r="M31" s="11"/>
      <c r="N31" s="12"/>
      <c r="O31" s="39" t="s">
        <v>151</v>
      </c>
      <c r="P31" s="11"/>
      <c r="Q31" s="12"/>
      <c r="R31" s="39"/>
      <c r="S31" s="12"/>
      <c r="T31" s="39"/>
      <c r="U31" s="12"/>
      <c r="V31" s="39"/>
      <c r="W31" s="12"/>
      <c r="X31" s="39"/>
      <c r="Y31" s="36"/>
    </row>
    <row r="32" ht="12.0" customHeight="1"/>
    <row r="33" ht="16.5" customHeight="1"/>
    <row r="34" ht="3.75" customHeight="1"/>
    <row r="35" ht="33.0" customHeight="1">
      <c r="A35" s="25">
        <v>6.0</v>
      </c>
      <c r="B35" s="30" t="s">
        <v>88</v>
      </c>
      <c r="C35" s="41" t="s">
        <v>106</v>
      </c>
      <c r="D35" s="28"/>
      <c r="E35" s="28"/>
      <c r="F35" s="29"/>
      <c r="G35" s="30" t="s">
        <v>89</v>
      </c>
      <c r="H35" s="28"/>
      <c r="I35" s="28"/>
      <c r="J35" s="29"/>
      <c r="K35" s="31" t="s">
        <v>183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9"/>
      <c r="X35" s="32" t="s">
        <v>138</v>
      </c>
      <c r="Y35" s="33">
        <v>18.0</v>
      </c>
    </row>
    <row r="36" ht="27.75" customHeight="1">
      <c r="A36" s="34" t="s">
        <v>1</v>
      </c>
      <c r="B36" s="7" t="s">
        <v>139</v>
      </c>
      <c r="C36" s="35" t="s">
        <v>140</v>
      </c>
      <c r="D36" s="11"/>
      <c r="E36" s="11"/>
      <c r="F36" s="12"/>
      <c r="G36" s="35" t="s">
        <v>141</v>
      </c>
      <c r="H36" s="11"/>
      <c r="I36" s="11"/>
      <c r="J36" s="12"/>
      <c r="K36" s="35" t="s">
        <v>142</v>
      </c>
      <c r="L36" s="11"/>
      <c r="M36" s="11"/>
      <c r="N36" s="12"/>
      <c r="O36" s="35" t="s">
        <v>143</v>
      </c>
      <c r="P36" s="11"/>
      <c r="Q36" s="12"/>
      <c r="R36" s="35" t="s">
        <v>144</v>
      </c>
      <c r="S36" s="12"/>
      <c r="T36" s="35" t="s">
        <v>145</v>
      </c>
      <c r="U36" s="12"/>
      <c r="V36" s="35" t="s">
        <v>146</v>
      </c>
      <c r="W36" s="12"/>
      <c r="X36" s="35" t="s">
        <v>147</v>
      </c>
      <c r="Y36" s="36"/>
    </row>
    <row r="37" ht="24.75" customHeight="1">
      <c r="A37" s="40">
        <v>1.0</v>
      </c>
      <c r="B37" s="38" t="s">
        <v>184</v>
      </c>
      <c r="C37" s="39" t="s">
        <v>185</v>
      </c>
      <c r="D37" s="11"/>
      <c r="E37" s="11"/>
      <c r="F37" s="12"/>
      <c r="G37" s="39" t="s">
        <v>150</v>
      </c>
      <c r="H37" s="11"/>
      <c r="I37" s="11"/>
      <c r="J37" s="12"/>
      <c r="K37" s="39"/>
      <c r="L37" s="11"/>
      <c r="M37" s="11"/>
      <c r="N37" s="12"/>
      <c r="O37" s="39" t="s">
        <v>151</v>
      </c>
      <c r="P37" s="11"/>
      <c r="Q37" s="12"/>
      <c r="R37" s="39" t="s">
        <v>152</v>
      </c>
      <c r="S37" s="12"/>
      <c r="T37" s="39"/>
      <c r="U37" s="12"/>
      <c r="V37" s="39" t="s">
        <v>152</v>
      </c>
      <c r="W37" s="12"/>
      <c r="X37" s="39" t="s">
        <v>153</v>
      </c>
      <c r="Y37" s="36"/>
    </row>
    <row r="38" ht="25.5" customHeight="1">
      <c r="A38" s="40">
        <v>2.0</v>
      </c>
      <c r="B38" s="38" t="s">
        <v>177</v>
      </c>
      <c r="C38" s="39" t="s">
        <v>186</v>
      </c>
      <c r="D38" s="11"/>
      <c r="E38" s="11"/>
      <c r="F38" s="12"/>
      <c r="G38" s="39" t="s">
        <v>165</v>
      </c>
      <c r="H38" s="11"/>
      <c r="I38" s="11"/>
      <c r="J38" s="12"/>
      <c r="K38" s="39"/>
      <c r="L38" s="11"/>
      <c r="M38" s="11"/>
      <c r="N38" s="12"/>
      <c r="O38" s="39" t="s">
        <v>151</v>
      </c>
      <c r="P38" s="11"/>
      <c r="Q38" s="12"/>
      <c r="R38" s="39"/>
      <c r="S38" s="12"/>
      <c r="T38" s="39" t="s">
        <v>187</v>
      </c>
      <c r="U38" s="12"/>
      <c r="V38" s="39"/>
      <c r="W38" s="12"/>
      <c r="X38" s="39" t="s">
        <v>188</v>
      </c>
      <c r="Y38" s="36"/>
    </row>
    <row r="39" ht="24.0" customHeight="1">
      <c r="A39" s="40">
        <v>3.0</v>
      </c>
      <c r="B39" s="38" t="s">
        <v>189</v>
      </c>
      <c r="C39" s="39" t="s">
        <v>190</v>
      </c>
      <c r="D39" s="11"/>
      <c r="E39" s="11"/>
      <c r="F39" s="12"/>
      <c r="G39" s="39" t="s">
        <v>191</v>
      </c>
      <c r="H39" s="11"/>
      <c r="I39" s="11"/>
      <c r="J39" s="12"/>
      <c r="K39" s="39">
        <v>10.2</v>
      </c>
      <c r="L39" s="11"/>
      <c r="M39" s="11"/>
      <c r="N39" s="12"/>
      <c r="O39" s="39" t="s">
        <v>151</v>
      </c>
      <c r="P39" s="11"/>
      <c r="Q39" s="12"/>
      <c r="R39" s="39"/>
      <c r="S39" s="12"/>
      <c r="T39" s="39"/>
      <c r="U39" s="12"/>
      <c r="V39" s="39"/>
      <c r="W39" s="12"/>
      <c r="X39" s="39"/>
      <c r="Y39" s="36"/>
    </row>
    <row r="40">
      <c r="A40" s="40">
        <v>4.0</v>
      </c>
      <c r="B40" s="38" t="s">
        <v>192</v>
      </c>
      <c r="C40" s="39" t="s">
        <v>193</v>
      </c>
      <c r="D40" s="11"/>
      <c r="E40" s="11"/>
      <c r="F40" s="12"/>
      <c r="G40" s="39" t="s">
        <v>46</v>
      </c>
      <c r="H40" s="11"/>
      <c r="I40" s="11"/>
      <c r="J40" s="12"/>
      <c r="K40" s="39"/>
      <c r="L40" s="11"/>
      <c r="M40" s="11"/>
      <c r="N40" s="12"/>
      <c r="O40" s="39" t="s">
        <v>151</v>
      </c>
      <c r="P40" s="11"/>
      <c r="Q40" s="12"/>
      <c r="R40" s="39"/>
      <c r="S40" s="12"/>
      <c r="T40" s="39"/>
      <c r="U40" s="12"/>
      <c r="V40" s="39"/>
      <c r="W40" s="12"/>
      <c r="X40" s="39"/>
      <c r="Y40" s="36"/>
    </row>
    <row r="41" ht="14.25" customHeight="1"/>
    <row r="42" ht="25.5" customHeight="1">
      <c r="A42" s="25">
        <v>7.0</v>
      </c>
      <c r="B42" s="30" t="s">
        <v>88</v>
      </c>
      <c r="C42" s="41" t="s">
        <v>109</v>
      </c>
      <c r="D42" s="28"/>
      <c r="E42" s="28"/>
      <c r="F42" s="29"/>
      <c r="G42" s="30" t="s">
        <v>89</v>
      </c>
      <c r="H42" s="28"/>
      <c r="I42" s="28"/>
      <c r="J42" s="29"/>
      <c r="K42" s="31" t="s">
        <v>110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9"/>
      <c r="X42" s="32" t="s">
        <v>138</v>
      </c>
      <c r="Y42" s="33">
        <v>18.0</v>
      </c>
    </row>
    <row r="43" ht="28.5" customHeight="1">
      <c r="A43" s="34" t="s">
        <v>1</v>
      </c>
      <c r="B43" s="7" t="s">
        <v>139</v>
      </c>
      <c r="C43" s="43" t="s">
        <v>140</v>
      </c>
      <c r="D43" s="11"/>
      <c r="E43" s="11"/>
      <c r="F43" s="12"/>
      <c r="G43" s="35" t="s">
        <v>141</v>
      </c>
      <c r="H43" s="11"/>
      <c r="I43" s="11"/>
      <c r="J43" s="12"/>
      <c r="K43" s="35" t="s">
        <v>142</v>
      </c>
      <c r="L43" s="11"/>
      <c r="M43" s="11"/>
      <c r="N43" s="12"/>
      <c r="O43" s="35" t="s">
        <v>143</v>
      </c>
      <c r="P43" s="11"/>
      <c r="Q43" s="12"/>
      <c r="R43" s="35" t="s">
        <v>144</v>
      </c>
      <c r="S43" s="12"/>
      <c r="T43" s="35" t="s">
        <v>145</v>
      </c>
      <c r="U43" s="12"/>
      <c r="V43" s="35" t="s">
        <v>146</v>
      </c>
      <c r="W43" s="12"/>
      <c r="X43" s="35" t="s">
        <v>147</v>
      </c>
      <c r="Y43" s="36"/>
    </row>
    <row r="44" ht="25.5" customHeight="1">
      <c r="A44" s="40">
        <v>1.0</v>
      </c>
      <c r="B44" s="38" t="s">
        <v>194</v>
      </c>
      <c r="C44" s="39" t="s">
        <v>195</v>
      </c>
      <c r="D44" s="11"/>
      <c r="E44" s="11"/>
      <c r="F44" s="12"/>
      <c r="G44" s="39" t="s">
        <v>150</v>
      </c>
      <c r="H44" s="11"/>
      <c r="I44" s="11"/>
      <c r="J44" s="12"/>
      <c r="K44" s="39"/>
      <c r="L44" s="11"/>
      <c r="M44" s="11"/>
      <c r="N44" s="12"/>
      <c r="O44" s="39" t="s">
        <v>151</v>
      </c>
      <c r="P44" s="11"/>
      <c r="Q44" s="12"/>
      <c r="R44" s="39" t="s">
        <v>152</v>
      </c>
      <c r="S44" s="12"/>
      <c r="T44" s="39"/>
      <c r="U44" s="12"/>
      <c r="V44" s="39" t="s">
        <v>152</v>
      </c>
      <c r="W44" s="12"/>
      <c r="X44" s="39" t="s">
        <v>153</v>
      </c>
      <c r="Y44" s="36"/>
    </row>
    <row r="45" ht="27.75" customHeight="1">
      <c r="A45" s="40">
        <v>2.0</v>
      </c>
      <c r="B45" s="38" t="s">
        <v>154</v>
      </c>
      <c r="C45" s="39" t="s">
        <v>196</v>
      </c>
      <c r="D45" s="11"/>
      <c r="E45" s="11"/>
      <c r="F45" s="12"/>
      <c r="G45" s="39" t="s">
        <v>156</v>
      </c>
      <c r="H45" s="11"/>
      <c r="I45" s="11"/>
      <c r="J45" s="12"/>
      <c r="K45" s="39">
        <v>100.0</v>
      </c>
      <c r="L45" s="11"/>
      <c r="M45" s="11"/>
      <c r="N45" s="12"/>
      <c r="O45" s="39" t="s">
        <v>151</v>
      </c>
      <c r="P45" s="11"/>
      <c r="Q45" s="12"/>
      <c r="R45" s="39"/>
      <c r="S45" s="12"/>
      <c r="T45" s="39"/>
      <c r="U45" s="12"/>
      <c r="V45" s="39"/>
      <c r="W45" s="12"/>
      <c r="X45" s="39"/>
      <c r="Y45" s="36"/>
    </row>
    <row r="46" ht="25.5" customHeight="1">
      <c r="A46" s="40">
        <v>3.0</v>
      </c>
      <c r="B46" s="38" t="s">
        <v>197</v>
      </c>
      <c r="C46" s="39" t="s">
        <v>197</v>
      </c>
      <c r="D46" s="11"/>
      <c r="E46" s="11"/>
      <c r="F46" s="12"/>
      <c r="G46" s="39" t="s">
        <v>24</v>
      </c>
      <c r="H46" s="11"/>
      <c r="I46" s="11"/>
      <c r="J46" s="12"/>
      <c r="K46" s="39">
        <v>10.2</v>
      </c>
      <c r="L46" s="11"/>
      <c r="M46" s="11"/>
      <c r="N46" s="12"/>
      <c r="O46" s="39" t="s">
        <v>151</v>
      </c>
      <c r="P46" s="11"/>
      <c r="Q46" s="12"/>
      <c r="R46" s="39"/>
      <c r="S46" s="12"/>
      <c r="T46" s="39"/>
      <c r="U46" s="12"/>
      <c r="V46" s="39"/>
      <c r="W46" s="12"/>
      <c r="X46" s="39"/>
      <c r="Y46" s="36"/>
    </row>
    <row r="47" ht="26.25" customHeight="1"/>
    <row r="48" ht="27.0" customHeight="1">
      <c r="A48" s="25">
        <v>8.0</v>
      </c>
      <c r="B48" s="30" t="s">
        <v>88</v>
      </c>
      <c r="C48" s="41" t="s">
        <v>112</v>
      </c>
      <c r="D48" s="28"/>
      <c r="E48" s="28"/>
      <c r="F48" s="29"/>
      <c r="G48" s="30" t="s">
        <v>89</v>
      </c>
      <c r="H48" s="28"/>
      <c r="I48" s="28"/>
      <c r="J48" s="29"/>
      <c r="K48" s="31" t="s">
        <v>198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9"/>
      <c r="X48" s="32" t="s">
        <v>138</v>
      </c>
      <c r="Y48" s="33">
        <v>18.0</v>
      </c>
    </row>
    <row r="49" ht="21.75" customHeight="1">
      <c r="A49" s="34" t="s">
        <v>1</v>
      </c>
      <c r="B49" s="7" t="s">
        <v>139</v>
      </c>
      <c r="C49" s="35" t="s">
        <v>140</v>
      </c>
      <c r="D49" s="11"/>
      <c r="E49" s="11"/>
      <c r="F49" s="12"/>
      <c r="G49" s="35" t="s">
        <v>141</v>
      </c>
      <c r="H49" s="11"/>
      <c r="I49" s="11"/>
      <c r="J49" s="12"/>
      <c r="K49" s="35" t="s">
        <v>142</v>
      </c>
      <c r="L49" s="11"/>
      <c r="M49" s="11"/>
      <c r="N49" s="12"/>
      <c r="O49" s="35" t="s">
        <v>143</v>
      </c>
      <c r="P49" s="11"/>
      <c r="Q49" s="12"/>
      <c r="R49" s="35" t="s">
        <v>144</v>
      </c>
      <c r="S49" s="12"/>
      <c r="T49" s="35" t="s">
        <v>145</v>
      </c>
      <c r="U49" s="12"/>
      <c r="V49" s="35" t="s">
        <v>146</v>
      </c>
      <c r="W49" s="12"/>
      <c r="X49" s="35" t="s">
        <v>147</v>
      </c>
      <c r="Y49" s="36"/>
    </row>
    <row r="50">
      <c r="A50" s="40">
        <v>1.0</v>
      </c>
      <c r="B50" s="38" t="s">
        <v>199</v>
      </c>
      <c r="C50" s="39" t="s">
        <v>200</v>
      </c>
      <c r="D50" s="11"/>
      <c r="E50" s="11"/>
      <c r="F50" s="12"/>
      <c r="G50" s="39" t="s">
        <v>150</v>
      </c>
      <c r="H50" s="11"/>
      <c r="I50" s="11"/>
      <c r="J50" s="12"/>
      <c r="K50" s="39"/>
      <c r="L50" s="11"/>
      <c r="M50" s="11"/>
      <c r="N50" s="12"/>
      <c r="O50" s="39" t="s">
        <v>151</v>
      </c>
      <c r="P50" s="11"/>
      <c r="Q50" s="12"/>
      <c r="R50" s="39" t="s">
        <v>152</v>
      </c>
      <c r="S50" s="12"/>
      <c r="T50" s="39"/>
      <c r="U50" s="12"/>
      <c r="V50" s="39" t="s">
        <v>152</v>
      </c>
      <c r="W50" s="12"/>
      <c r="X50" s="39" t="s">
        <v>153</v>
      </c>
      <c r="Y50" s="36"/>
    </row>
    <row r="51" ht="27.75" customHeight="1">
      <c r="A51" s="40">
        <v>2.0</v>
      </c>
      <c r="B51" s="38" t="s">
        <v>192</v>
      </c>
      <c r="C51" s="39" t="s">
        <v>201</v>
      </c>
      <c r="D51" s="11"/>
      <c r="E51" s="11"/>
      <c r="F51" s="12"/>
      <c r="G51" s="39" t="s">
        <v>43</v>
      </c>
      <c r="H51" s="11"/>
      <c r="I51" s="11"/>
      <c r="J51" s="12"/>
      <c r="K51" s="39"/>
      <c r="L51" s="11"/>
      <c r="M51" s="11"/>
      <c r="N51" s="12"/>
      <c r="O51" s="39" t="s">
        <v>151</v>
      </c>
      <c r="P51" s="11"/>
      <c r="Q51" s="12"/>
      <c r="R51" s="39"/>
      <c r="S51" s="12"/>
      <c r="T51" s="39"/>
      <c r="U51" s="12"/>
      <c r="V51" s="39"/>
      <c r="W51" s="12"/>
      <c r="X51" s="39"/>
      <c r="Y51" s="36"/>
    </row>
    <row r="52" ht="24.0" customHeight="1"/>
    <row r="53" ht="30.0" customHeight="1">
      <c r="A53" s="25">
        <v>9.0</v>
      </c>
      <c r="B53" s="30" t="s">
        <v>88</v>
      </c>
      <c r="C53" s="27" t="s">
        <v>115</v>
      </c>
      <c r="D53" s="28"/>
      <c r="E53" s="28"/>
      <c r="F53" s="29"/>
      <c r="G53" s="30" t="s">
        <v>89</v>
      </c>
      <c r="H53" s="28"/>
      <c r="I53" s="28"/>
      <c r="J53" s="29"/>
      <c r="K53" s="31" t="s">
        <v>116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9"/>
      <c r="X53" s="32" t="s">
        <v>138</v>
      </c>
      <c r="Y53" s="33">
        <v>18.0</v>
      </c>
    </row>
    <row r="54" ht="29.25" customHeight="1">
      <c r="A54" s="34" t="s">
        <v>1</v>
      </c>
      <c r="B54" s="7" t="s">
        <v>139</v>
      </c>
      <c r="C54" s="35" t="s">
        <v>140</v>
      </c>
      <c r="D54" s="11"/>
      <c r="E54" s="11"/>
      <c r="F54" s="12"/>
      <c r="G54" s="35" t="s">
        <v>141</v>
      </c>
      <c r="H54" s="11"/>
      <c r="I54" s="11"/>
      <c r="J54" s="12"/>
      <c r="K54" s="35" t="s">
        <v>142</v>
      </c>
      <c r="L54" s="11"/>
      <c r="M54" s="11"/>
      <c r="N54" s="12"/>
      <c r="O54" s="35" t="s">
        <v>143</v>
      </c>
      <c r="P54" s="11"/>
      <c r="Q54" s="12"/>
      <c r="R54" s="35" t="s">
        <v>144</v>
      </c>
      <c r="S54" s="12"/>
      <c r="T54" s="35" t="s">
        <v>145</v>
      </c>
      <c r="U54" s="12"/>
      <c r="V54" s="35" t="s">
        <v>146</v>
      </c>
      <c r="W54" s="12"/>
      <c r="X54" s="35" t="s">
        <v>147</v>
      </c>
      <c r="Y54" s="36"/>
    </row>
    <row r="55" ht="31.5" customHeight="1">
      <c r="A55" s="40">
        <v>1.0</v>
      </c>
      <c r="B55" s="38" t="s">
        <v>202</v>
      </c>
      <c r="C55" s="39" t="s">
        <v>203</v>
      </c>
      <c r="D55" s="11"/>
      <c r="E55" s="11"/>
      <c r="F55" s="12"/>
      <c r="G55" s="39" t="s">
        <v>150</v>
      </c>
      <c r="H55" s="11"/>
      <c r="I55" s="11"/>
      <c r="J55" s="12"/>
      <c r="K55" s="39"/>
      <c r="L55" s="11"/>
      <c r="M55" s="11"/>
      <c r="N55" s="12"/>
      <c r="O55" s="39" t="s">
        <v>151</v>
      </c>
      <c r="P55" s="11"/>
      <c r="Q55" s="12"/>
      <c r="R55" s="39" t="s">
        <v>152</v>
      </c>
      <c r="S55" s="12"/>
      <c r="T55" s="39"/>
      <c r="U55" s="12"/>
      <c r="V55" s="39" t="s">
        <v>152</v>
      </c>
      <c r="W55" s="12"/>
      <c r="X55" s="39" t="s">
        <v>153</v>
      </c>
      <c r="Y55" s="36"/>
    </row>
    <row r="56" ht="27.75" customHeight="1">
      <c r="A56" s="40">
        <v>2.0</v>
      </c>
      <c r="B56" s="38" t="s">
        <v>199</v>
      </c>
      <c r="C56" s="39" t="s">
        <v>204</v>
      </c>
      <c r="D56" s="11"/>
      <c r="E56" s="11"/>
      <c r="F56" s="12"/>
      <c r="G56" s="39" t="s">
        <v>165</v>
      </c>
      <c r="H56" s="11"/>
      <c r="I56" s="11"/>
      <c r="J56" s="12"/>
      <c r="K56" s="39"/>
      <c r="L56" s="11"/>
      <c r="M56" s="11"/>
      <c r="N56" s="12"/>
      <c r="O56" s="39" t="s">
        <v>151</v>
      </c>
      <c r="P56" s="11"/>
      <c r="Q56" s="12"/>
      <c r="R56" s="39"/>
      <c r="S56" s="12"/>
      <c r="T56" s="39" t="s">
        <v>152</v>
      </c>
      <c r="U56" s="12"/>
      <c r="V56" s="39"/>
      <c r="W56" s="12"/>
      <c r="X56" s="39" t="s">
        <v>205</v>
      </c>
      <c r="Y56" s="36"/>
    </row>
    <row r="57" ht="27.75" customHeight="1">
      <c r="A57" s="40">
        <v>3.0</v>
      </c>
      <c r="B57" s="38" t="s">
        <v>194</v>
      </c>
      <c r="C57" s="39" t="s">
        <v>206</v>
      </c>
      <c r="D57" s="11"/>
      <c r="E57" s="11"/>
      <c r="F57" s="12"/>
      <c r="G57" s="39" t="s">
        <v>165</v>
      </c>
      <c r="H57" s="11"/>
      <c r="I57" s="11"/>
      <c r="J57" s="12"/>
      <c r="K57" s="39"/>
      <c r="L57" s="11"/>
      <c r="M57" s="11"/>
      <c r="N57" s="12"/>
      <c r="O57" s="39" t="s">
        <v>151</v>
      </c>
      <c r="P57" s="11"/>
      <c r="Q57" s="12"/>
      <c r="R57" s="39"/>
      <c r="S57" s="12"/>
      <c r="T57" s="39" t="s">
        <v>152</v>
      </c>
      <c r="U57" s="12"/>
      <c r="V57" s="39"/>
      <c r="W57" s="12"/>
      <c r="X57" s="39" t="s">
        <v>207</v>
      </c>
      <c r="Y57" s="36"/>
    </row>
    <row r="58" ht="22.5" customHeight="1">
      <c r="A58" s="40">
        <v>4.0</v>
      </c>
      <c r="B58" s="38" t="s">
        <v>208</v>
      </c>
      <c r="C58" s="39" t="s">
        <v>208</v>
      </c>
      <c r="D58" s="11"/>
      <c r="E58" s="11"/>
      <c r="F58" s="12"/>
      <c r="G58" s="39" t="s">
        <v>165</v>
      </c>
      <c r="H58" s="11"/>
      <c r="I58" s="11"/>
      <c r="J58" s="12"/>
      <c r="K58" s="39"/>
      <c r="L58" s="11"/>
      <c r="M58" s="11"/>
      <c r="N58" s="12"/>
      <c r="O58" s="39" t="s">
        <v>151</v>
      </c>
      <c r="P58" s="11"/>
      <c r="Q58" s="12"/>
      <c r="R58" s="44"/>
      <c r="S58" s="12"/>
      <c r="T58" s="44"/>
      <c r="U58" s="12"/>
      <c r="V58" s="39"/>
      <c r="W58" s="12"/>
      <c r="X58" s="39"/>
      <c r="Y58" s="36"/>
    </row>
    <row r="59" ht="15.0" customHeight="1"/>
    <row r="60" ht="24.75" customHeight="1">
      <c r="A60" s="45">
        <v>10.0</v>
      </c>
      <c r="B60" s="30" t="s">
        <v>88</v>
      </c>
      <c r="C60" s="41" t="s">
        <v>118</v>
      </c>
      <c r="D60" s="28"/>
      <c r="E60" s="28"/>
      <c r="F60" s="29"/>
      <c r="G60" s="30" t="s">
        <v>89</v>
      </c>
      <c r="H60" s="28"/>
      <c r="I60" s="28"/>
      <c r="J60" s="29"/>
      <c r="K60" s="46" t="s">
        <v>119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9"/>
      <c r="X60" s="32" t="s">
        <v>138</v>
      </c>
      <c r="Y60" s="33">
        <v>18.0</v>
      </c>
    </row>
    <row r="61" ht="25.5" customHeight="1">
      <c r="A61" s="34" t="s">
        <v>1</v>
      </c>
      <c r="B61" s="7" t="s">
        <v>139</v>
      </c>
      <c r="C61" s="35" t="s">
        <v>140</v>
      </c>
      <c r="D61" s="11"/>
      <c r="E61" s="11"/>
      <c r="F61" s="12"/>
      <c r="G61" s="35" t="s">
        <v>141</v>
      </c>
      <c r="H61" s="11"/>
      <c r="I61" s="11"/>
      <c r="J61" s="12"/>
      <c r="K61" s="35" t="s">
        <v>142</v>
      </c>
      <c r="L61" s="11"/>
      <c r="M61" s="11"/>
      <c r="N61" s="12"/>
      <c r="O61" s="35" t="s">
        <v>143</v>
      </c>
      <c r="P61" s="11"/>
      <c r="Q61" s="12"/>
      <c r="R61" s="35" t="s">
        <v>144</v>
      </c>
      <c r="S61" s="12"/>
      <c r="T61" s="35" t="s">
        <v>145</v>
      </c>
      <c r="U61" s="12"/>
      <c r="V61" s="35" t="s">
        <v>146</v>
      </c>
      <c r="W61" s="12"/>
      <c r="X61" s="35" t="s">
        <v>147</v>
      </c>
      <c r="Y61" s="36"/>
    </row>
    <row r="62" ht="22.5" customHeight="1">
      <c r="A62" s="40">
        <v>1.0</v>
      </c>
      <c r="B62" s="47" t="s">
        <v>209</v>
      </c>
      <c r="C62" s="42" t="s">
        <v>210</v>
      </c>
      <c r="D62" s="11"/>
      <c r="E62" s="11"/>
      <c r="F62" s="12"/>
      <c r="G62" s="39" t="s">
        <v>150</v>
      </c>
      <c r="H62" s="11"/>
      <c r="I62" s="11"/>
      <c r="J62" s="12"/>
      <c r="K62" s="39"/>
      <c r="L62" s="11"/>
      <c r="M62" s="11"/>
      <c r="N62" s="12"/>
      <c r="O62" s="39" t="s">
        <v>151</v>
      </c>
      <c r="P62" s="11"/>
      <c r="Q62" s="12"/>
      <c r="R62" s="39" t="s">
        <v>152</v>
      </c>
      <c r="S62" s="12"/>
      <c r="T62" s="39"/>
      <c r="U62" s="12"/>
      <c r="V62" s="39" t="s">
        <v>152</v>
      </c>
      <c r="W62" s="12"/>
      <c r="X62" s="39" t="s">
        <v>153</v>
      </c>
      <c r="Y62" s="36"/>
    </row>
    <row r="63" ht="22.5" customHeight="1">
      <c r="A63" s="40">
        <v>2.0</v>
      </c>
      <c r="B63" s="47" t="s">
        <v>154</v>
      </c>
      <c r="C63" s="42" t="s">
        <v>211</v>
      </c>
      <c r="D63" s="11"/>
      <c r="E63" s="11"/>
      <c r="F63" s="12"/>
      <c r="G63" s="42" t="s">
        <v>156</v>
      </c>
      <c r="H63" s="11"/>
      <c r="I63" s="11"/>
      <c r="J63" s="12"/>
      <c r="K63" s="42">
        <v>100.0</v>
      </c>
      <c r="L63" s="11"/>
      <c r="M63" s="11"/>
      <c r="N63" s="12"/>
      <c r="O63" s="39" t="s">
        <v>151</v>
      </c>
      <c r="P63" s="11"/>
      <c r="Q63" s="12"/>
      <c r="R63" s="39"/>
      <c r="S63" s="12"/>
      <c r="T63" s="39"/>
      <c r="U63" s="12"/>
      <c r="V63" s="39"/>
      <c r="W63" s="12"/>
      <c r="X63" s="39"/>
      <c r="Y63" s="36"/>
    </row>
    <row r="64" ht="24.75" customHeight="1">
      <c r="A64" s="40">
        <v>3.0</v>
      </c>
      <c r="B64" s="38"/>
      <c r="C64" s="39"/>
      <c r="D64" s="11"/>
      <c r="E64" s="11"/>
      <c r="F64" s="12"/>
      <c r="G64" s="39"/>
      <c r="H64" s="11"/>
      <c r="I64" s="11"/>
      <c r="J64" s="12"/>
      <c r="K64" s="39"/>
      <c r="L64" s="11"/>
      <c r="M64" s="11"/>
      <c r="N64" s="12"/>
      <c r="O64" s="39"/>
      <c r="P64" s="11"/>
      <c r="Q64" s="12"/>
      <c r="R64" s="39"/>
      <c r="S64" s="12"/>
      <c r="T64" s="39"/>
      <c r="U64" s="12"/>
      <c r="V64" s="39"/>
      <c r="W64" s="12"/>
      <c r="X64" s="39"/>
      <c r="Y64" s="36"/>
    </row>
    <row r="65" ht="24.75" customHeight="1">
      <c r="A65" s="40">
        <v>4.0</v>
      </c>
      <c r="B65" s="38"/>
      <c r="C65" s="39"/>
      <c r="D65" s="11"/>
      <c r="E65" s="11"/>
      <c r="F65" s="12"/>
      <c r="G65" s="39"/>
      <c r="H65" s="11"/>
      <c r="I65" s="11"/>
      <c r="J65" s="12"/>
      <c r="K65" s="39"/>
      <c r="L65" s="11"/>
      <c r="M65" s="11"/>
      <c r="N65" s="12"/>
      <c r="O65" s="39"/>
      <c r="P65" s="11"/>
      <c r="Q65" s="12"/>
      <c r="R65" s="39"/>
      <c r="S65" s="12"/>
      <c r="T65" s="44"/>
      <c r="U65" s="12"/>
      <c r="V65" s="39"/>
      <c r="W65" s="12"/>
      <c r="X65" s="39"/>
      <c r="Y65" s="36"/>
    </row>
    <row r="66" ht="23.25" customHeight="1"/>
    <row r="67" ht="24.0" customHeight="1">
      <c r="A67" s="48">
        <v>11.0</v>
      </c>
      <c r="B67" s="49" t="s">
        <v>88</v>
      </c>
      <c r="C67" s="50" t="s">
        <v>130</v>
      </c>
      <c r="D67" s="28"/>
      <c r="E67" s="28"/>
      <c r="F67" s="29"/>
      <c r="G67" s="49" t="s">
        <v>89</v>
      </c>
      <c r="H67" s="28"/>
      <c r="I67" s="28"/>
      <c r="J67" s="29"/>
      <c r="K67" s="51" t="s">
        <v>212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9"/>
      <c r="X67" s="52" t="s">
        <v>138</v>
      </c>
      <c r="Y67" s="33">
        <v>18.0</v>
      </c>
    </row>
    <row r="68" ht="22.5" customHeight="1">
      <c r="A68" s="53" t="s">
        <v>1</v>
      </c>
      <c r="B68" s="54" t="s">
        <v>139</v>
      </c>
      <c r="C68" s="55" t="s">
        <v>140</v>
      </c>
      <c r="D68" s="11"/>
      <c r="E68" s="11"/>
      <c r="F68" s="12"/>
      <c r="G68" s="55" t="s">
        <v>141</v>
      </c>
      <c r="H68" s="11"/>
      <c r="I68" s="11"/>
      <c r="J68" s="12"/>
      <c r="K68" s="55" t="s">
        <v>142</v>
      </c>
      <c r="L68" s="11"/>
      <c r="M68" s="11"/>
      <c r="N68" s="12"/>
      <c r="O68" s="55" t="s">
        <v>143</v>
      </c>
      <c r="P68" s="11"/>
      <c r="Q68" s="12"/>
      <c r="R68" s="55" t="s">
        <v>144</v>
      </c>
      <c r="S68" s="12"/>
      <c r="T68" s="55" t="s">
        <v>145</v>
      </c>
      <c r="U68" s="12"/>
      <c r="V68" s="55" t="s">
        <v>146</v>
      </c>
      <c r="W68" s="12"/>
      <c r="X68" s="55" t="s">
        <v>147</v>
      </c>
      <c r="Y68" s="36"/>
    </row>
    <row r="69" ht="24.0" customHeight="1">
      <c r="A69" s="56">
        <v>1.0</v>
      </c>
      <c r="B69" s="57" t="s">
        <v>213</v>
      </c>
      <c r="C69" s="58" t="s">
        <v>94</v>
      </c>
      <c r="D69" s="11"/>
      <c r="E69" s="11"/>
      <c r="F69" s="12"/>
      <c r="G69" s="58" t="s">
        <v>165</v>
      </c>
      <c r="H69" s="11"/>
      <c r="I69" s="11"/>
      <c r="J69" s="12"/>
      <c r="K69" s="44"/>
      <c r="L69" s="11"/>
      <c r="M69" s="11"/>
      <c r="N69" s="12"/>
      <c r="O69" s="59" t="s">
        <v>151</v>
      </c>
      <c r="P69" s="11"/>
      <c r="Q69" s="12"/>
      <c r="R69" s="59" t="s">
        <v>152</v>
      </c>
      <c r="S69" s="12"/>
      <c r="T69" s="60" t="s">
        <v>152</v>
      </c>
      <c r="U69" s="12"/>
      <c r="V69" s="59"/>
      <c r="W69" s="12"/>
      <c r="X69" s="58" t="s">
        <v>214</v>
      </c>
      <c r="Y69" s="36"/>
    </row>
    <row r="70" ht="21.0" customHeight="1">
      <c r="A70" s="56">
        <v>2.0</v>
      </c>
      <c r="B70" s="57" t="s">
        <v>215</v>
      </c>
      <c r="C70" s="58" t="s">
        <v>97</v>
      </c>
      <c r="D70" s="11"/>
      <c r="E70" s="11"/>
      <c r="F70" s="12"/>
      <c r="G70" s="58" t="s">
        <v>165</v>
      </c>
      <c r="H70" s="11"/>
      <c r="I70" s="11"/>
      <c r="J70" s="12"/>
      <c r="K70" s="61"/>
      <c r="L70" s="11"/>
      <c r="M70" s="11"/>
      <c r="N70" s="12"/>
      <c r="O70" s="59" t="s">
        <v>151</v>
      </c>
      <c r="P70" s="11"/>
      <c r="Q70" s="12"/>
      <c r="R70" s="60" t="s">
        <v>152</v>
      </c>
      <c r="S70" s="12"/>
      <c r="T70" s="58" t="s">
        <v>152</v>
      </c>
      <c r="U70" s="12"/>
      <c r="V70" s="44"/>
      <c r="W70" s="12"/>
      <c r="X70" s="58" t="s">
        <v>216</v>
      </c>
      <c r="Y70" s="36"/>
    </row>
    <row r="71" ht="24.75" customHeight="1">
      <c r="A71" s="56">
        <v>3.0</v>
      </c>
      <c r="B71" s="62"/>
      <c r="C71" s="59"/>
      <c r="D71" s="11"/>
      <c r="E71" s="11"/>
      <c r="F71" s="12"/>
      <c r="G71" s="59"/>
      <c r="H71" s="11"/>
      <c r="I71" s="11"/>
      <c r="J71" s="12"/>
      <c r="O71" s="59"/>
      <c r="P71" s="11"/>
      <c r="Q71" s="12"/>
      <c r="R71" s="44"/>
      <c r="S71" s="12"/>
      <c r="T71" s="59"/>
      <c r="U71" s="12"/>
      <c r="V71" s="44"/>
      <c r="W71" s="12"/>
      <c r="X71" s="59"/>
      <c r="Y71" s="36"/>
    </row>
    <row r="72" ht="25.5" customHeight="1">
      <c r="A72" s="56">
        <v>4.0</v>
      </c>
      <c r="B72" s="62"/>
      <c r="C72" s="59"/>
      <c r="D72" s="11"/>
      <c r="E72" s="11"/>
      <c r="F72" s="12"/>
      <c r="G72" s="59"/>
      <c r="H72" s="11"/>
      <c r="I72" s="11"/>
      <c r="J72" s="12"/>
      <c r="K72" s="44"/>
      <c r="L72" s="11"/>
      <c r="M72" s="11"/>
      <c r="N72" s="12"/>
      <c r="O72" s="59"/>
      <c r="P72" s="11"/>
      <c r="Q72" s="12"/>
      <c r="R72" s="44"/>
      <c r="S72" s="12"/>
      <c r="T72" s="44"/>
      <c r="U72" s="12"/>
      <c r="V72" s="44"/>
      <c r="W72" s="12"/>
      <c r="X72" s="44"/>
      <c r="Y72" s="36"/>
    </row>
    <row r="73" ht="21.75" customHeight="1"/>
    <row r="74" ht="22.5" customHeight="1">
      <c r="A74" s="48">
        <v>12.0</v>
      </c>
      <c r="B74" s="49" t="s">
        <v>88</v>
      </c>
      <c r="C74" s="50" t="s">
        <v>133</v>
      </c>
      <c r="D74" s="28"/>
      <c r="E74" s="28"/>
      <c r="F74" s="29"/>
      <c r="G74" s="49" t="s">
        <v>89</v>
      </c>
      <c r="H74" s="28"/>
      <c r="I74" s="28"/>
      <c r="J74" s="29"/>
      <c r="K74" s="51" t="s">
        <v>217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9"/>
      <c r="X74" s="52" t="s">
        <v>138</v>
      </c>
      <c r="Y74" s="33">
        <v>18.0</v>
      </c>
    </row>
    <row r="75" ht="21.0" customHeight="1">
      <c r="A75" s="53" t="s">
        <v>1</v>
      </c>
      <c r="B75" s="54" t="s">
        <v>139</v>
      </c>
      <c r="C75" s="55" t="s">
        <v>140</v>
      </c>
      <c r="D75" s="11"/>
      <c r="E75" s="11"/>
      <c r="F75" s="12"/>
      <c r="G75" s="55" t="s">
        <v>141</v>
      </c>
      <c r="H75" s="11"/>
      <c r="I75" s="11"/>
      <c r="J75" s="12"/>
      <c r="K75" s="55" t="s">
        <v>142</v>
      </c>
      <c r="L75" s="11"/>
      <c r="M75" s="11"/>
      <c r="N75" s="12"/>
      <c r="O75" s="55" t="s">
        <v>143</v>
      </c>
      <c r="P75" s="11"/>
      <c r="Q75" s="12"/>
      <c r="R75" s="55" t="s">
        <v>144</v>
      </c>
      <c r="S75" s="12"/>
      <c r="T75" s="55" t="s">
        <v>145</v>
      </c>
      <c r="U75" s="12"/>
      <c r="V75" s="55" t="s">
        <v>146</v>
      </c>
      <c r="W75" s="12"/>
      <c r="X75" s="55" t="s">
        <v>147</v>
      </c>
      <c r="Y75" s="36"/>
    </row>
    <row r="76" ht="22.5" customHeight="1">
      <c r="A76" s="56">
        <v>1.0</v>
      </c>
      <c r="B76" s="57" t="s">
        <v>215</v>
      </c>
      <c r="C76" s="58" t="s">
        <v>97</v>
      </c>
      <c r="D76" s="11"/>
      <c r="E76" s="11"/>
      <c r="F76" s="12"/>
      <c r="G76" s="58" t="s">
        <v>165</v>
      </c>
      <c r="H76" s="11"/>
      <c r="I76" s="11"/>
      <c r="J76" s="12"/>
      <c r="K76" s="44"/>
      <c r="L76" s="11"/>
      <c r="M76" s="11"/>
      <c r="N76" s="12"/>
      <c r="O76" s="59" t="s">
        <v>151</v>
      </c>
      <c r="P76" s="11"/>
      <c r="Q76" s="12"/>
      <c r="R76" s="59" t="s">
        <v>152</v>
      </c>
      <c r="S76" s="12"/>
      <c r="T76" s="60" t="s">
        <v>152</v>
      </c>
      <c r="U76" s="12"/>
      <c r="V76" s="59" t="s">
        <v>152</v>
      </c>
      <c r="W76" s="12"/>
      <c r="X76" s="58" t="s">
        <v>216</v>
      </c>
      <c r="Y76" s="36"/>
    </row>
    <row r="77" ht="24.0" customHeight="1">
      <c r="A77" s="56">
        <v>2.0</v>
      </c>
      <c r="B77" s="57" t="s">
        <v>209</v>
      </c>
      <c r="C77" s="58" t="s">
        <v>118</v>
      </c>
      <c r="D77" s="11"/>
      <c r="E77" s="11"/>
      <c r="F77" s="12"/>
      <c r="G77" s="58" t="s">
        <v>165</v>
      </c>
      <c r="H77" s="11"/>
      <c r="I77" s="11"/>
      <c r="J77" s="12"/>
      <c r="K77" s="44"/>
      <c r="L77" s="11"/>
      <c r="M77" s="11"/>
      <c r="N77" s="12"/>
      <c r="O77" s="59" t="s">
        <v>151</v>
      </c>
      <c r="P77" s="11"/>
      <c r="Q77" s="12"/>
      <c r="R77" s="60" t="s">
        <v>152</v>
      </c>
      <c r="S77" s="12"/>
      <c r="T77" s="58" t="s">
        <v>152</v>
      </c>
      <c r="U77" s="12"/>
      <c r="V77" s="44"/>
      <c r="W77" s="12"/>
      <c r="X77" s="58" t="s">
        <v>218</v>
      </c>
      <c r="Y77" s="36"/>
    </row>
    <row r="78" ht="22.5" customHeight="1">
      <c r="A78" s="56">
        <v>3.0</v>
      </c>
      <c r="B78" s="57"/>
      <c r="C78" s="58"/>
      <c r="D78" s="11"/>
      <c r="E78" s="11"/>
      <c r="F78" s="12"/>
      <c r="G78" s="59"/>
      <c r="H78" s="11"/>
      <c r="I78" s="11"/>
      <c r="J78" s="12"/>
      <c r="K78" s="44"/>
      <c r="L78" s="11"/>
      <c r="M78" s="11"/>
      <c r="N78" s="12"/>
      <c r="O78" s="59"/>
      <c r="P78" s="11"/>
      <c r="Q78" s="12"/>
      <c r="R78" s="44"/>
      <c r="S78" s="12"/>
      <c r="T78" s="59"/>
      <c r="U78" s="12"/>
      <c r="V78" s="44"/>
      <c r="W78" s="12"/>
      <c r="X78" s="59"/>
      <c r="Y78" s="36"/>
    </row>
    <row r="79" ht="24.75" customHeight="1">
      <c r="A79" s="56">
        <v>4.0</v>
      </c>
      <c r="B79" s="57"/>
      <c r="C79" s="58"/>
      <c r="D79" s="11"/>
      <c r="E79" s="11"/>
      <c r="F79" s="12"/>
      <c r="G79" s="58"/>
      <c r="H79" s="11"/>
      <c r="I79" s="11"/>
      <c r="J79" s="12"/>
      <c r="K79" s="44"/>
      <c r="L79" s="11"/>
      <c r="M79" s="11"/>
      <c r="N79" s="12"/>
      <c r="O79" s="59"/>
      <c r="P79" s="11"/>
      <c r="Q79" s="12"/>
      <c r="R79" s="44"/>
      <c r="S79" s="12"/>
      <c r="T79" s="44"/>
      <c r="U79" s="12"/>
      <c r="V79" s="44"/>
      <c r="W79" s="12"/>
      <c r="X79" s="44"/>
      <c r="Y79" s="36"/>
    </row>
    <row r="80" ht="15.75" customHeight="1"/>
    <row r="81" ht="24.0" customHeight="1">
      <c r="A81" s="48">
        <v>13.0</v>
      </c>
      <c r="B81" s="49" t="s">
        <v>88</v>
      </c>
      <c r="C81" s="50" t="s">
        <v>135</v>
      </c>
      <c r="D81" s="28"/>
      <c r="E81" s="28"/>
      <c r="F81" s="29"/>
      <c r="G81" s="49" t="s">
        <v>89</v>
      </c>
      <c r="H81" s="28"/>
      <c r="I81" s="28"/>
      <c r="J81" s="29"/>
      <c r="K81" s="51" t="s">
        <v>217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9"/>
      <c r="X81" s="52" t="s">
        <v>138</v>
      </c>
      <c r="Y81" s="33">
        <v>18.0</v>
      </c>
    </row>
    <row r="82" ht="30.0" customHeight="1">
      <c r="A82" s="53" t="s">
        <v>1</v>
      </c>
      <c r="B82" s="54" t="s">
        <v>139</v>
      </c>
      <c r="C82" s="55" t="s">
        <v>140</v>
      </c>
      <c r="D82" s="11"/>
      <c r="E82" s="11"/>
      <c r="F82" s="12"/>
      <c r="G82" s="55" t="s">
        <v>141</v>
      </c>
      <c r="H82" s="11"/>
      <c r="I82" s="11"/>
      <c r="J82" s="12"/>
      <c r="K82" s="55" t="s">
        <v>142</v>
      </c>
      <c r="L82" s="11"/>
      <c r="M82" s="11"/>
      <c r="N82" s="12"/>
      <c r="O82" s="55" t="s">
        <v>143</v>
      </c>
      <c r="P82" s="11"/>
      <c r="Q82" s="12"/>
      <c r="R82" s="55" t="s">
        <v>144</v>
      </c>
      <c r="S82" s="12"/>
      <c r="T82" s="55" t="s">
        <v>145</v>
      </c>
      <c r="U82" s="12"/>
      <c r="V82" s="55" t="s">
        <v>146</v>
      </c>
      <c r="W82" s="12"/>
      <c r="X82" s="55" t="s">
        <v>147</v>
      </c>
      <c r="Y82" s="36"/>
    </row>
    <row r="83" ht="30.0" customHeight="1">
      <c r="A83" s="56">
        <v>1.0</v>
      </c>
      <c r="B83" s="57" t="s">
        <v>194</v>
      </c>
      <c r="C83" s="58" t="s">
        <v>109</v>
      </c>
      <c r="D83" s="11"/>
      <c r="E83" s="11"/>
      <c r="F83" s="12"/>
      <c r="G83" s="58" t="s">
        <v>165</v>
      </c>
      <c r="H83" s="11"/>
      <c r="I83" s="11"/>
      <c r="J83" s="12"/>
      <c r="K83" s="44"/>
      <c r="L83" s="11"/>
      <c r="M83" s="11"/>
      <c r="N83" s="12"/>
      <c r="O83" s="59" t="s">
        <v>151</v>
      </c>
      <c r="P83" s="11"/>
      <c r="Q83" s="12"/>
      <c r="R83" s="59" t="s">
        <v>152</v>
      </c>
      <c r="S83" s="12"/>
      <c r="T83" s="60" t="s">
        <v>152</v>
      </c>
      <c r="U83" s="12"/>
      <c r="V83" s="59"/>
      <c r="W83" s="12"/>
      <c r="X83" s="58" t="s">
        <v>219</v>
      </c>
      <c r="Y83" s="36"/>
    </row>
    <row r="84" ht="24.0" customHeight="1">
      <c r="A84" s="56">
        <v>2.0</v>
      </c>
      <c r="B84" s="57" t="s">
        <v>220</v>
      </c>
      <c r="C84" s="58" t="s">
        <v>221</v>
      </c>
      <c r="D84" s="11"/>
      <c r="E84" s="11"/>
      <c r="F84" s="12"/>
      <c r="G84" s="59" t="s">
        <v>165</v>
      </c>
      <c r="H84" s="11"/>
      <c r="I84" s="11"/>
      <c r="J84" s="12"/>
      <c r="K84" s="44"/>
      <c r="L84" s="11"/>
      <c r="M84" s="11"/>
      <c r="N84" s="12"/>
      <c r="O84" s="59" t="s">
        <v>151</v>
      </c>
      <c r="P84" s="11"/>
      <c r="Q84" s="12"/>
      <c r="R84" s="60" t="s">
        <v>152</v>
      </c>
      <c r="S84" s="12"/>
      <c r="T84" s="59" t="s">
        <v>152</v>
      </c>
      <c r="U84" s="12"/>
      <c r="V84" s="44"/>
      <c r="W84" s="12"/>
      <c r="X84" s="58" t="s">
        <v>222</v>
      </c>
      <c r="Y84" s="36"/>
    </row>
    <row r="85" ht="24.75" customHeight="1">
      <c r="A85" s="56">
        <v>3.0</v>
      </c>
      <c r="B85" s="62"/>
      <c r="C85" s="59"/>
      <c r="D85" s="11"/>
      <c r="E85" s="11"/>
      <c r="F85" s="12"/>
      <c r="G85" s="59"/>
      <c r="H85" s="11"/>
      <c r="I85" s="11"/>
      <c r="J85" s="12"/>
      <c r="K85" s="44"/>
      <c r="L85" s="11"/>
      <c r="M85" s="11"/>
      <c r="N85" s="12"/>
      <c r="O85" s="59"/>
      <c r="P85" s="11"/>
      <c r="Q85" s="12"/>
      <c r="R85" s="44"/>
      <c r="S85" s="12"/>
      <c r="T85" s="59"/>
      <c r="U85" s="12"/>
      <c r="V85" s="44"/>
      <c r="W85" s="12"/>
      <c r="X85" s="59"/>
      <c r="Y85" s="36"/>
    </row>
    <row r="86" ht="24.0" customHeight="1">
      <c r="A86" s="56">
        <v>4.0</v>
      </c>
      <c r="B86" s="62"/>
      <c r="C86" s="59"/>
      <c r="D86" s="11"/>
      <c r="E86" s="11"/>
      <c r="F86" s="12"/>
      <c r="G86" s="59"/>
      <c r="H86" s="11"/>
      <c r="I86" s="11"/>
      <c r="J86" s="12"/>
      <c r="K86" s="44"/>
      <c r="L86" s="11"/>
      <c r="M86" s="11"/>
      <c r="N86" s="12"/>
      <c r="O86" s="59"/>
      <c r="P86" s="11"/>
      <c r="Q86" s="12"/>
      <c r="R86" s="44"/>
      <c r="S86" s="12"/>
      <c r="T86" s="44"/>
      <c r="U86" s="12"/>
      <c r="V86" s="44"/>
      <c r="W86" s="12"/>
      <c r="X86" s="44"/>
      <c r="Y86" s="36"/>
    </row>
    <row r="87" ht="24.75" customHeight="1"/>
    <row r="88" ht="22.5" customHeight="1">
      <c r="A88" s="48">
        <v>14.0</v>
      </c>
      <c r="B88" s="49" t="s">
        <v>88</v>
      </c>
      <c r="C88" s="50" t="s">
        <v>223</v>
      </c>
      <c r="D88" s="28"/>
      <c r="E88" s="28"/>
      <c r="F88" s="29"/>
      <c r="G88" s="49" t="s">
        <v>89</v>
      </c>
      <c r="H88" s="28"/>
      <c r="I88" s="28"/>
      <c r="J88" s="29"/>
      <c r="K88" s="51" t="s">
        <v>224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9"/>
      <c r="X88" s="52" t="s">
        <v>138</v>
      </c>
      <c r="Y88" s="33">
        <v>18.0</v>
      </c>
    </row>
    <row r="89" ht="19.5" customHeight="1">
      <c r="A89" s="53" t="s">
        <v>1</v>
      </c>
      <c r="B89" s="54" t="s">
        <v>139</v>
      </c>
      <c r="C89" s="55" t="s">
        <v>140</v>
      </c>
      <c r="D89" s="11"/>
      <c r="E89" s="11"/>
      <c r="F89" s="12"/>
      <c r="G89" s="55" t="s">
        <v>141</v>
      </c>
      <c r="H89" s="11"/>
      <c r="I89" s="11"/>
      <c r="J89" s="12"/>
      <c r="K89" s="55" t="s">
        <v>142</v>
      </c>
      <c r="L89" s="11"/>
      <c r="M89" s="11"/>
      <c r="N89" s="12"/>
      <c r="O89" s="55" t="s">
        <v>143</v>
      </c>
      <c r="P89" s="11"/>
      <c r="Q89" s="12"/>
      <c r="R89" s="55" t="s">
        <v>144</v>
      </c>
      <c r="S89" s="12"/>
      <c r="T89" s="55" t="s">
        <v>145</v>
      </c>
      <c r="U89" s="12"/>
      <c r="V89" s="55" t="s">
        <v>146</v>
      </c>
      <c r="W89" s="12"/>
      <c r="X89" s="55" t="s">
        <v>147</v>
      </c>
      <c r="Y89" s="36"/>
    </row>
    <row r="90" ht="27.75" customHeight="1">
      <c r="A90" s="56">
        <v>1.0</v>
      </c>
      <c r="B90" s="57" t="s">
        <v>225</v>
      </c>
      <c r="C90" s="58" t="s">
        <v>226</v>
      </c>
      <c r="D90" s="11"/>
      <c r="E90" s="11"/>
      <c r="F90" s="12"/>
      <c r="G90" s="59" t="s">
        <v>150</v>
      </c>
      <c r="H90" s="11"/>
      <c r="I90" s="11"/>
      <c r="J90" s="12"/>
      <c r="K90" s="44"/>
      <c r="L90" s="11"/>
      <c r="M90" s="11"/>
      <c r="N90" s="12"/>
      <c r="O90" s="59" t="s">
        <v>151</v>
      </c>
      <c r="P90" s="11"/>
      <c r="Q90" s="12"/>
      <c r="R90" s="59" t="s">
        <v>152</v>
      </c>
      <c r="S90" s="12"/>
      <c r="T90" s="44"/>
      <c r="U90" s="12"/>
      <c r="V90" s="59" t="s">
        <v>152</v>
      </c>
      <c r="W90" s="12"/>
      <c r="X90" s="58" t="s">
        <v>153</v>
      </c>
      <c r="Y90" s="36"/>
    </row>
    <row r="91" ht="30.0" customHeight="1">
      <c r="A91" s="56">
        <v>2.0</v>
      </c>
      <c r="B91" s="57" t="s">
        <v>154</v>
      </c>
      <c r="C91" s="58" t="s">
        <v>227</v>
      </c>
      <c r="D91" s="11"/>
      <c r="E91" s="11"/>
      <c r="F91" s="12"/>
      <c r="G91" s="58" t="s">
        <v>156</v>
      </c>
      <c r="H91" s="11"/>
      <c r="I91" s="11"/>
      <c r="J91" s="12"/>
      <c r="K91" s="61">
        <v>100.0</v>
      </c>
      <c r="L91" s="11"/>
      <c r="M91" s="11"/>
      <c r="N91" s="12"/>
      <c r="O91" s="59" t="s">
        <v>151</v>
      </c>
      <c r="P91" s="11"/>
      <c r="Q91" s="12"/>
      <c r="R91" s="44"/>
      <c r="S91" s="12"/>
      <c r="T91" s="59"/>
      <c r="U91" s="12"/>
      <c r="V91" s="44"/>
      <c r="W91" s="12"/>
      <c r="X91" s="59"/>
      <c r="Y91" s="36"/>
    </row>
    <row r="92" ht="28.5" customHeight="1">
      <c r="A92" s="56">
        <v>3.0</v>
      </c>
      <c r="B92" s="62"/>
      <c r="C92" s="59"/>
      <c r="D92" s="11"/>
      <c r="E92" s="11"/>
      <c r="F92" s="12"/>
      <c r="G92" s="59"/>
      <c r="H92" s="11"/>
      <c r="I92" s="11"/>
      <c r="J92" s="12"/>
      <c r="K92" s="44"/>
      <c r="L92" s="11"/>
      <c r="M92" s="11"/>
      <c r="N92" s="12"/>
      <c r="O92" s="59"/>
      <c r="P92" s="11"/>
      <c r="Q92" s="12"/>
      <c r="R92" s="44"/>
      <c r="S92" s="12"/>
      <c r="T92" s="59"/>
      <c r="U92" s="12"/>
      <c r="V92" s="44"/>
      <c r="W92" s="12"/>
      <c r="X92" s="59"/>
      <c r="Y92" s="36"/>
    </row>
    <row r="93" ht="28.5" customHeight="1">
      <c r="A93" s="56">
        <v>4.0</v>
      </c>
      <c r="B93" s="62"/>
      <c r="C93" s="59"/>
      <c r="D93" s="11"/>
      <c r="E93" s="11"/>
      <c r="F93" s="12"/>
      <c r="G93" s="59"/>
      <c r="H93" s="11"/>
      <c r="I93" s="11"/>
      <c r="J93" s="12"/>
      <c r="K93" s="44"/>
      <c r="L93" s="11"/>
      <c r="M93" s="11"/>
      <c r="N93" s="12"/>
      <c r="O93" s="59"/>
      <c r="P93" s="11"/>
      <c r="Q93" s="12"/>
      <c r="R93" s="44"/>
      <c r="S93" s="12"/>
      <c r="T93" s="44"/>
      <c r="U93" s="12"/>
      <c r="V93" s="44"/>
      <c r="W93" s="12"/>
      <c r="X93" s="44"/>
      <c r="Y93" s="36"/>
    </row>
    <row r="94" ht="30.0" customHeight="1"/>
    <row r="95" ht="24.0" customHeight="1">
      <c r="A95" s="48">
        <v>15.0</v>
      </c>
      <c r="B95" s="49" t="s">
        <v>88</v>
      </c>
      <c r="C95" s="50" t="s">
        <v>228</v>
      </c>
      <c r="D95" s="28"/>
      <c r="E95" s="28"/>
      <c r="F95" s="29"/>
      <c r="G95" s="49" t="s">
        <v>89</v>
      </c>
      <c r="H95" s="28"/>
      <c r="I95" s="28"/>
      <c r="J95" s="29"/>
      <c r="K95" s="51" t="s">
        <v>229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9"/>
      <c r="X95" s="52" t="s">
        <v>138</v>
      </c>
      <c r="Y95" s="33">
        <v>18.0</v>
      </c>
    </row>
    <row r="96" ht="27.75" customHeight="1">
      <c r="A96" s="53" t="s">
        <v>1</v>
      </c>
      <c r="B96" s="54" t="s">
        <v>139</v>
      </c>
      <c r="C96" s="55" t="s">
        <v>140</v>
      </c>
      <c r="D96" s="11"/>
      <c r="E96" s="11"/>
      <c r="F96" s="12"/>
      <c r="G96" s="55" t="s">
        <v>141</v>
      </c>
      <c r="H96" s="11"/>
      <c r="I96" s="11"/>
      <c r="J96" s="12"/>
      <c r="K96" s="55" t="s">
        <v>142</v>
      </c>
      <c r="L96" s="11"/>
      <c r="M96" s="11"/>
      <c r="N96" s="12"/>
      <c r="O96" s="55" t="s">
        <v>143</v>
      </c>
      <c r="P96" s="11"/>
      <c r="Q96" s="12"/>
      <c r="R96" s="55" t="s">
        <v>144</v>
      </c>
      <c r="S96" s="12"/>
      <c r="T96" s="55" t="s">
        <v>145</v>
      </c>
      <c r="U96" s="12"/>
      <c r="V96" s="55" t="s">
        <v>146</v>
      </c>
      <c r="W96" s="12"/>
      <c r="X96" s="55" t="s">
        <v>147</v>
      </c>
      <c r="Y96" s="36"/>
    </row>
    <row r="97" ht="21.0" customHeight="1">
      <c r="A97" s="56">
        <v>1.0</v>
      </c>
      <c r="B97" s="57" t="s">
        <v>230</v>
      </c>
      <c r="C97" s="58" t="s">
        <v>231</v>
      </c>
      <c r="D97" s="11"/>
      <c r="E97" s="11"/>
      <c r="F97" s="12"/>
      <c r="G97" s="59" t="s">
        <v>150</v>
      </c>
      <c r="H97" s="11"/>
      <c r="I97" s="11"/>
      <c r="J97" s="12"/>
      <c r="K97" s="44"/>
      <c r="L97" s="11"/>
      <c r="M97" s="11"/>
      <c r="N97" s="12"/>
      <c r="O97" s="59" t="s">
        <v>151</v>
      </c>
      <c r="P97" s="11"/>
      <c r="Q97" s="12"/>
      <c r="R97" s="59" t="s">
        <v>152</v>
      </c>
      <c r="S97" s="12"/>
      <c r="T97" s="44"/>
      <c r="U97" s="12"/>
      <c r="V97" s="59" t="s">
        <v>152</v>
      </c>
      <c r="W97" s="12"/>
      <c r="X97" s="59" t="s">
        <v>153</v>
      </c>
      <c r="Y97" s="36"/>
    </row>
    <row r="98" ht="24.0" customHeight="1">
      <c r="A98" s="56">
        <v>2.0</v>
      </c>
      <c r="B98" s="57" t="s">
        <v>215</v>
      </c>
      <c r="C98" s="58" t="s">
        <v>232</v>
      </c>
      <c r="D98" s="11"/>
      <c r="E98" s="11"/>
      <c r="F98" s="12"/>
      <c r="G98" s="59" t="s">
        <v>165</v>
      </c>
      <c r="H98" s="11"/>
      <c r="I98" s="11"/>
      <c r="J98" s="12"/>
      <c r="K98" s="44"/>
      <c r="L98" s="11"/>
      <c r="M98" s="11"/>
      <c r="N98" s="12"/>
      <c r="O98" s="59" t="s">
        <v>151</v>
      </c>
      <c r="P98" s="11"/>
      <c r="Q98" s="12"/>
      <c r="R98" s="44"/>
      <c r="S98" s="12"/>
      <c r="T98" s="59" t="s">
        <v>152</v>
      </c>
      <c r="U98" s="12"/>
      <c r="V98" s="44"/>
      <c r="W98" s="12"/>
      <c r="X98" s="58" t="s">
        <v>216</v>
      </c>
      <c r="Y98" s="36"/>
    </row>
    <row r="99" ht="24.0" customHeight="1">
      <c r="A99" s="56">
        <v>3.0</v>
      </c>
      <c r="B99" s="57" t="s">
        <v>225</v>
      </c>
      <c r="C99" s="58" t="s">
        <v>233</v>
      </c>
      <c r="D99" s="11"/>
      <c r="E99" s="11"/>
      <c r="F99" s="12"/>
      <c r="G99" s="59" t="s">
        <v>165</v>
      </c>
      <c r="H99" s="11"/>
      <c r="I99" s="11"/>
      <c r="J99" s="12"/>
      <c r="K99" s="44"/>
      <c r="L99" s="11"/>
      <c r="M99" s="11"/>
      <c r="N99" s="12"/>
      <c r="O99" s="59" t="s">
        <v>151</v>
      </c>
      <c r="P99" s="11"/>
      <c r="Q99" s="12"/>
      <c r="R99" s="44"/>
      <c r="S99" s="12"/>
      <c r="T99" s="59" t="s">
        <v>152</v>
      </c>
      <c r="U99" s="12"/>
      <c r="V99" s="44"/>
      <c r="W99" s="12"/>
      <c r="X99" s="58" t="s">
        <v>234</v>
      </c>
      <c r="Y99" s="36"/>
    </row>
    <row r="100" ht="24.75" customHeight="1">
      <c r="A100" s="56">
        <v>4.0</v>
      </c>
      <c r="B100" s="57" t="s">
        <v>192</v>
      </c>
      <c r="C100" s="58" t="s">
        <v>235</v>
      </c>
      <c r="D100" s="11"/>
      <c r="E100" s="11"/>
      <c r="F100" s="12"/>
      <c r="G100" s="58" t="s">
        <v>43</v>
      </c>
      <c r="H100" s="11"/>
      <c r="I100" s="11"/>
      <c r="J100" s="12"/>
      <c r="K100" s="44"/>
      <c r="L100" s="11"/>
      <c r="M100" s="11"/>
      <c r="N100" s="12"/>
      <c r="O100" s="59" t="s">
        <v>151</v>
      </c>
      <c r="P100" s="11"/>
      <c r="Q100" s="12"/>
      <c r="R100" s="44"/>
      <c r="S100" s="12"/>
      <c r="T100" s="44"/>
      <c r="U100" s="12"/>
      <c r="V100" s="44"/>
      <c r="W100" s="12"/>
      <c r="X100" s="44"/>
      <c r="Y100" s="36"/>
    </row>
    <row r="101" ht="15.75" customHeight="1"/>
    <row r="102" ht="24.0" customHeight="1">
      <c r="A102" s="48">
        <v>16.0</v>
      </c>
      <c r="B102" s="49" t="s">
        <v>88</v>
      </c>
      <c r="C102" s="50" t="s">
        <v>127</v>
      </c>
      <c r="D102" s="28"/>
      <c r="E102" s="28"/>
      <c r="F102" s="29"/>
      <c r="G102" s="49" t="s">
        <v>89</v>
      </c>
      <c r="H102" s="28"/>
      <c r="I102" s="28"/>
      <c r="J102" s="29"/>
      <c r="K102" s="51" t="s">
        <v>236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9"/>
      <c r="X102" s="52" t="s">
        <v>138</v>
      </c>
      <c r="Y102" s="33">
        <v>18.0</v>
      </c>
    </row>
    <row r="103" ht="24.75" customHeight="1">
      <c r="A103" s="53" t="s">
        <v>1</v>
      </c>
      <c r="B103" s="54" t="s">
        <v>139</v>
      </c>
      <c r="C103" s="55" t="s">
        <v>140</v>
      </c>
      <c r="D103" s="11"/>
      <c r="E103" s="11"/>
      <c r="F103" s="12"/>
      <c r="G103" s="55" t="s">
        <v>141</v>
      </c>
      <c r="H103" s="11"/>
      <c r="I103" s="11"/>
      <c r="J103" s="12"/>
      <c r="K103" s="55" t="s">
        <v>142</v>
      </c>
      <c r="L103" s="11"/>
      <c r="M103" s="11"/>
      <c r="N103" s="12"/>
      <c r="O103" s="55" t="s">
        <v>143</v>
      </c>
      <c r="P103" s="11"/>
      <c r="Q103" s="12"/>
      <c r="R103" s="55" t="s">
        <v>144</v>
      </c>
      <c r="S103" s="12"/>
      <c r="T103" s="55" t="s">
        <v>145</v>
      </c>
      <c r="U103" s="12"/>
      <c r="V103" s="55" t="s">
        <v>146</v>
      </c>
      <c r="W103" s="12"/>
      <c r="X103" s="55" t="s">
        <v>147</v>
      </c>
      <c r="Y103" s="36"/>
    </row>
    <row r="104" ht="25.5" customHeight="1">
      <c r="A104" s="56">
        <v>1.0</v>
      </c>
      <c r="B104" s="57" t="s">
        <v>220</v>
      </c>
      <c r="C104" s="58" t="s">
        <v>237</v>
      </c>
      <c r="D104" s="11"/>
      <c r="E104" s="11"/>
      <c r="F104" s="12"/>
      <c r="G104" s="59" t="s">
        <v>150</v>
      </c>
      <c r="H104" s="11"/>
      <c r="I104" s="11"/>
      <c r="J104" s="12"/>
      <c r="K104" s="44"/>
      <c r="L104" s="11"/>
      <c r="M104" s="11"/>
      <c r="N104" s="12"/>
      <c r="O104" s="59" t="s">
        <v>151</v>
      </c>
      <c r="P104" s="11"/>
      <c r="Q104" s="12"/>
      <c r="R104" s="59" t="s">
        <v>152</v>
      </c>
      <c r="S104" s="12"/>
      <c r="T104" s="44"/>
      <c r="U104" s="12"/>
      <c r="V104" s="59" t="s">
        <v>152</v>
      </c>
      <c r="W104" s="12"/>
      <c r="X104" s="59" t="s">
        <v>153</v>
      </c>
      <c r="Y104" s="36"/>
    </row>
    <row r="105" ht="22.5" customHeight="1">
      <c r="A105" s="56">
        <v>2.0</v>
      </c>
      <c r="B105" s="57" t="s">
        <v>192</v>
      </c>
      <c r="C105" s="58" t="s">
        <v>238</v>
      </c>
      <c r="D105" s="11"/>
      <c r="E105" s="11"/>
      <c r="F105" s="12"/>
      <c r="G105" s="58" t="s">
        <v>43</v>
      </c>
      <c r="H105" s="11"/>
      <c r="I105" s="11"/>
      <c r="J105" s="12"/>
      <c r="K105" s="44"/>
      <c r="L105" s="11"/>
      <c r="M105" s="11"/>
      <c r="N105" s="12"/>
      <c r="O105" s="59" t="s">
        <v>151</v>
      </c>
      <c r="P105" s="11"/>
      <c r="Q105" s="12"/>
      <c r="R105" s="44"/>
      <c r="S105" s="12"/>
      <c r="T105" s="59"/>
      <c r="U105" s="12"/>
      <c r="V105" s="44"/>
      <c r="W105" s="12"/>
      <c r="X105" s="59"/>
      <c r="Y105" s="36"/>
    </row>
    <row r="106" ht="24.0" customHeight="1">
      <c r="A106" s="56">
        <v>3.0</v>
      </c>
      <c r="B106" s="57" t="s">
        <v>208</v>
      </c>
      <c r="C106" s="58" t="s">
        <v>239</v>
      </c>
      <c r="D106" s="11"/>
      <c r="E106" s="11"/>
      <c r="F106" s="12"/>
      <c r="G106" s="59" t="s">
        <v>165</v>
      </c>
      <c r="H106" s="11"/>
      <c r="I106" s="11"/>
      <c r="J106" s="12"/>
      <c r="K106" s="44"/>
      <c r="L106" s="11"/>
      <c r="M106" s="11"/>
      <c r="N106" s="12"/>
      <c r="O106" s="59" t="s">
        <v>151</v>
      </c>
      <c r="P106" s="11"/>
      <c r="Q106" s="12"/>
      <c r="R106" s="44"/>
      <c r="S106" s="12"/>
      <c r="T106" s="59"/>
      <c r="U106" s="12"/>
      <c r="V106" s="44"/>
      <c r="W106" s="12"/>
      <c r="X106" s="59"/>
      <c r="Y106" s="36"/>
    </row>
    <row r="107" ht="24.0" customHeight="1">
      <c r="A107" s="56">
        <v>4.0</v>
      </c>
      <c r="B107" s="62"/>
      <c r="C107" s="59"/>
      <c r="D107" s="11"/>
      <c r="E107" s="11"/>
      <c r="F107" s="12"/>
      <c r="G107" s="59"/>
      <c r="H107" s="11"/>
      <c r="I107" s="11"/>
      <c r="J107" s="12"/>
      <c r="K107" s="44"/>
      <c r="L107" s="11"/>
      <c r="M107" s="11"/>
      <c r="N107" s="12"/>
      <c r="O107" s="59"/>
      <c r="P107" s="11"/>
      <c r="Q107" s="12"/>
      <c r="R107" s="44"/>
      <c r="S107" s="12"/>
      <c r="T107" s="44"/>
      <c r="U107" s="12"/>
      <c r="V107" s="44"/>
      <c r="W107" s="12"/>
      <c r="X107" s="44"/>
      <c r="Y107" s="36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616">
    <mergeCell ref="C8:F8"/>
    <mergeCell ref="G8:J8"/>
    <mergeCell ref="K8:W8"/>
    <mergeCell ref="C9:F9"/>
    <mergeCell ref="G9:J9"/>
    <mergeCell ref="K9:N9"/>
    <mergeCell ref="O9:Q9"/>
    <mergeCell ref="G10:J10"/>
    <mergeCell ref="K10:N10"/>
    <mergeCell ref="O10:Q10"/>
    <mergeCell ref="R10:S10"/>
    <mergeCell ref="T10:U10"/>
    <mergeCell ref="V10:W10"/>
    <mergeCell ref="X10:Y10"/>
    <mergeCell ref="V11:W11"/>
    <mergeCell ref="X11:Y11"/>
    <mergeCell ref="C10:F10"/>
    <mergeCell ref="C11:F11"/>
    <mergeCell ref="G11:J11"/>
    <mergeCell ref="K11:N11"/>
    <mergeCell ref="O11:Q11"/>
    <mergeCell ref="R11:S11"/>
    <mergeCell ref="T11:U11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R9:S9"/>
    <mergeCell ref="T9:U9"/>
    <mergeCell ref="V9:W9"/>
    <mergeCell ref="X9:Y9"/>
    <mergeCell ref="V13:W13"/>
    <mergeCell ref="X13:Y13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2:J12"/>
    <mergeCell ref="K12:N12"/>
    <mergeCell ref="O12:Q12"/>
    <mergeCell ref="R12:S12"/>
    <mergeCell ref="T12:U12"/>
    <mergeCell ref="V12:W12"/>
    <mergeCell ref="X12:Y12"/>
    <mergeCell ref="C12:F12"/>
    <mergeCell ref="C13:F13"/>
    <mergeCell ref="G13:J13"/>
    <mergeCell ref="K13:N13"/>
    <mergeCell ref="O13:Q13"/>
    <mergeCell ref="R13:S13"/>
    <mergeCell ref="T13:U13"/>
    <mergeCell ref="R16:S16"/>
    <mergeCell ref="T16:U16"/>
    <mergeCell ref="V16:W16"/>
    <mergeCell ref="X16:Y16"/>
    <mergeCell ref="C15:F15"/>
    <mergeCell ref="G15:J15"/>
    <mergeCell ref="K15:W15"/>
    <mergeCell ref="C16:F16"/>
    <mergeCell ref="G16:J16"/>
    <mergeCell ref="K16:N16"/>
    <mergeCell ref="O16:Q16"/>
    <mergeCell ref="V18:W18"/>
    <mergeCell ref="X18:Y18"/>
    <mergeCell ref="V21:W21"/>
    <mergeCell ref="X21:Y21"/>
    <mergeCell ref="O28:Q28"/>
    <mergeCell ref="R28:S28"/>
    <mergeCell ref="C29:F29"/>
    <mergeCell ref="G29:J29"/>
    <mergeCell ref="K29:N29"/>
    <mergeCell ref="O29:Q29"/>
    <mergeCell ref="R29:S29"/>
    <mergeCell ref="G30:J30"/>
    <mergeCell ref="K30:N30"/>
    <mergeCell ref="O30:Q30"/>
    <mergeCell ref="R30:S30"/>
    <mergeCell ref="T30:U30"/>
    <mergeCell ref="V30:W30"/>
    <mergeCell ref="X30:Y30"/>
    <mergeCell ref="V31:W31"/>
    <mergeCell ref="X31:Y31"/>
    <mergeCell ref="C30:F30"/>
    <mergeCell ref="C31:F31"/>
    <mergeCell ref="G31:J31"/>
    <mergeCell ref="K31:N31"/>
    <mergeCell ref="O31:Q31"/>
    <mergeCell ref="R31:S31"/>
    <mergeCell ref="T31:U31"/>
    <mergeCell ref="G24:J24"/>
    <mergeCell ref="K24:N24"/>
    <mergeCell ref="O24:Q24"/>
    <mergeCell ref="R24:S24"/>
    <mergeCell ref="T24:U24"/>
    <mergeCell ref="V24:W24"/>
    <mergeCell ref="X24:Y24"/>
    <mergeCell ref="C24:F24"/>
    <mergeCell ref="C27:F27"/>
    <mergeCell ref="G27:J27"/>
    <mergeCell ref="K27:W27"/>
    <mergeCell ref="C28:F28"/>
    <mergeCell ref="G28:J28"/>
    <mergeCell ref="K28:N28"/>
    <mergeCell ref="X28:Y28"/>
    <mergeCell ref="R21:S21"/>
    <mergeCell ref="T21:U21"/>
    <mergeCell ref="C20:F20"/>
    <mergeCell ref="G20:J20"/>
    <mergeCell ref="K20:W20"/>
    <mergeCell ref="C21:F21"/>
    <mergeCell ref="G21:J21"/>
    <mergeCell ref="K21:N21"/>
    <mergeCell ref="O21:Q21"/>
    <mergeCell ref="G22:J22"/>
    <mergeCell ref="K22:N22"/>
    <mergeCell ref="O22:Q22"/>
    <mergeCell ref="R22:S22"/>
    <mergeCell ref="T22:U22"/>
    <mergeCell ref="V22:W22"/>
    <mergeCell ref="X22:Y22"/>
    <mergeCell ref="V23:W23"/>
    <mergeCell ref="X23:Y23"/>
    <mergeCell ref="C22:F22"/>
    <mergeCell ref="C23:F23"/>
    <mergeCell ref="G23:J23"/>
    <mergeCell ref="K23:N23"/>
    <mergeCell ref="O23:Q23"/>
    <mergeCell ref="R23:S23"/>
    <mergeCell ref="T23:U23"/>
    <mergeCell ref="T28:U28"/>
    <mergeCell ref="V28:W28"/>
    <mergeCell ref="T29:U29"/>
    <mergeCell ref="V29:W29"/>
    <mergeCell ref="X29:Y29"/>
    <mergeCell ref="V36:W36"/>
    <mergeCell ref="X36:Y36"/>
    <mergeCell ref="G39:J39"/>
    <mergeCell ref="K39:N39"/>
    <mergeCell ref="O39:Q39"/>
    <mergeCell ref="R39:S39"/>
    <mergeCell ref="T39:U39"/>
    <mergeCell ref="V39:W39"/>
    <mergeCell ref="X39:Y39"/>
    <mergeCell ref="C39:F39"/>
    <mergeCell ref="C40:F40"/>
    <mergeCell ref="G40:J40"/>
    <mergeCell ref="K40:N40"/>
    <mergeCell ref="O40:Q40"/>
    <mergeCell ref="R40:S40"/>
    <mergeCell ref="T40:U40"/>
    <mergeCell ref="R36:S36"/>
    <mergeCell ref="T36:U36"/>
    <mergeCell ref="C35:F35"/>
    <mergeCell ref="G35:J35"/>
    <mergeCell ref="K35:W35"/>
    <mergeCell ref="C36:F36"/>
    <mergeCell ref="G36:J36"/>
    <mergeCell ref="K36:N36"/>
    <mergeCell ref="O36:Q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C37:F37"/>
    <mergeCell ref="C38:F38"/>
    <mergeCell ref="G38:J38"/>
    <mergeCell ref="K38:N38"/>
    <mergeCell ref="O38:Q38"/>
    <mergeCell ref="R38:S38"/>
    <mergeCell ref="T38:U38"/>
    <mergeCell ref="V40:W40"/>
    <mergeCell ref="X40:Y40"/>
    <mergeCell ref="V43:W43"/>
    <mergeCell ref="X43:Y43"/>
    <mergeCell ref="G46:J46"/>
    <mergeCell ref="K46:N46"/>
    <mergeCell ref="O46:Q46"/>
    <mergeCell ref="R46:S46"/>
    <mergeCell ref="T46:U46"/>
    <mergeCell ref="V46:W46"/>
    <mergeCell ref="X46:Y46"/>
    <mergeCell ref="K48:W48"/>
    <mergeCell ref="C46:F46"/>
    <mergeCell ref="C48:F48"/>
    <mergeCell ref="G48:J48"/>
    <mergeCell ref="C49:F49"/>
    <mergeCell ref="G49:J49"/>
    <mergeCell ref="K49:N49"/>
    <mergeCell ref="O49:Q49"/>
    <mergeCell ref="G50:J50"/>
    <mergeCell ref="K50:N50"/>
    <mergeCell ref="O50:Q50"/>
    <mergeCell ref="R50:S50"/>
    <mergeCell ref="T50:U50"/>
    <mergeCell ref="V50:W50"/>
    <mergeCell ref="X50:Y50"/>
    <mergeCell ref="C50:F50"/>
    <mergeCell ref="C51:F51"/>
    <mergeCell ref="G51:J51"/>
    <mergeCell ref="K51:N51"/>
    <mergeCell ref="O51:Q51"/>
    <mergeCell ref="R51:S51"/>
    <mergeCell ref="T51:U51"/>
    <mergeCell ref="T55:U55"/>
    <mergeCell ref="V55:W55"/>
    <mergeCell ref="X55:Y55"/>
    <mergeCell ref="R54:S54"/>
    <mergeCell ref="T54:U54"/>
    <mergeCell ref="C55:F55"/>
    <mergeCell ref="G55:J55"/>
    <mergeCell ref="K55:N55"/>
    <mergeCell ref="O55:Q55"/>
    <mergeCell ref="R55:S55"/>
    <mergeCell ref="K54:N54"/>
    <mergeCell ref="O54:Q54"/>
    <mergeCell ref="V54:W54"/>
    <mergeCell ref="X54:Y54"/>
    <mergeCell ref="V51:W51"/>
    <mergeCell ref="X51:Y51"/>
    <mergeCell ref="C53:F53"/>
    <mergeCell ref="G53:J53"/>
    <mergeCell ref="K53:W53"/>
    <mergeCell ref="C54:F54"/>
    <mergeCell ref="G54:J54"/>
    <mergeCell ref="G56:J56"/>
    <mergeCell ref="K56:N56"/>
    <mergeCell ref="O56:Q56"/>
    <mergeCell ref="R56:S56"/>
    <mergeCell ref="T56:U56"/>
    <mergeCell ref="V56:W56"/>
    <mergeCell ref="X56:Y56"/>
    <mergeCell ref="C56:F56"/>
    <mergeCell ref="C57:F57"/>
    <mergeCell ref="G57:J57"/>
    <mergeCell ref="K57:N57"/>
    <mergeCell ref="O57:Q57"/>
    <mergeCell ref="R57:S57"/>
    <mergeCell ref="T57:U57"/>
    <mergeCell ref="T58:U58"/>
    <mergeCell ref="V58:W58"/>
    <mergeCell ref="V57:W57"/>
    <mergeCell ref="X57:Y57"/>
    <mergeCell ref="G58:J58"/>
    <mergeCell ref="K58:N58"/>
    <mergeCell ref="O58:Q58"/>
    <mergeCell ref="R58:S58"/>
    <mergeCell ref="X58:Y58"/>
    <mergeCell ref="R43:S43"/>
    <mergeCell ref="T43:U43"/>
    <mergeCell ref="C42:F42"/>
    <mergeCell ref="G42:J42"/>
    <mergeCell ref="K42:W42"/>
    <mergeCell ref="C43:F43"/>
    <mergeCell ref="G43:J43"/>
    <mergeCell ref="K43:N43"/>
    <mergeCell ref="O43:Q43"/>
    <mergeCell ref="G44:J44"/>
    <mergeCell ref="K44:N44"/>
    <mergeCell ref="O44:Q44"/>
    <mergeCell ref="R44:S44"/>
    <mergeCell ref="T44:U44"/>
    <mergeCell ref="V44:W44"/>
    <mergeCell ref="X44:Y44"/>
    <mergeCell ref="V45:W45"/>
    <mergeCell ref="X45:Y45"/>
    <mergeCell ref="C44:F44"/>
    <mergeCell ref="C45:F45"/>
    <mergeCell ref="G45:J45"/>
    <mergeCell ref="K45:N45"/>
    <mergeCell ref="O45:Q45"/>
    <mergeCell ref="R45:S45"/>
    <mergeCell ref="T45:U45"/>
    <mergeCell ref="R49:S49"/>
    <mergeCell ref="T49:U49"/>
    <mergeCell ref="V49:W49"/>
    <mergeCell ref="X49:Y49"/>
    <mergeCell ref="T61:U61"/>
    <mergeCell ref="V61:W61"/>
    <mergeCell ref="X61:Y61"/>
    <mergeCell ref="G64:J64"/>
    <mergeCell ref="K64:N64"/>
    <mergeCell ref="O64:Q64"/>
    <mergeCell ref="R64:S64"/>
    <mergeCell ref="T64:U64"/>
    <mergeCell ref="V64:W64"/>
    <mergeCell ref="X64:Y64"/>
    <mergeCell ref="C64:F64"/>
    <mergeCell ref="C65:F65"/>
    <mergeCell ref="G65:J65"/>
    <mergeCell ref="K65:N65"/>
    <mergeCell ref="O65:Q65"/>
    <mergeCell ref="R65:S65"/>
    <mergeCell ref="T65:U65"/>
    <mergeCell ref="O61:Q61"/>
    <mergeCell ref="R61:S61"/>
    <mergeCell ref="C58:F58"/>
    <mergeCell ref="C60:F60"/>
    <mergeCell ref="G60:J60"/>
    <mergeCell ref="K60:W60"/>
    <mergeCell ref="C61:F61"/>
    <mergeCell ref="G61:J61"/>
    <mergeCell ref="K61:N61"/>
    <mergeCell ref="G62:J62"/>
    <mergeCell ref="K62:N62"/>
    <mergeCell ref="O62:Q62"/>
    <mergeCell ref="R62:S62"/>
    <mergeCell ref="T62:U62"/>
    <mergeCell ref="V62:W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V65:W65"/>
    <mergeCell ref="X65:Y65"/>
    <mergeCell ref="V68:W68"/>
    <mergeCell ref="X68:Y68"/>
    <mergeCell ref="T76:U76"/>
    <mergeCell ref="V76:W76"/>
    <mergeCell ref="X76:Y76"/>
    <mergeCell ref="R75:S75"/>
    <mergeCell ref="T75:U75"/>
    <mergeCell ref="C76:F76"/>
    <mergeCell ref="G76:J76"/>
    <mergeCell ref="K76:N76"/>
    <mergeCell ref="O76:Q76"/>
    <mergeCell ref="R76:S76"/>
    <mergeCell ref="G92:J92"/>
    <mergeCell ref="K92:N92"/>
    <mergeCell ref="O92:Q92"/>
    <mergeCell ref="R92:S92"/>
    <mergeCell ref="T92:U92"/>
    <mergeCell ref="V92:W92"/>
    <mergeCell ref="X92:Y92"/>
    <mergeCell ref="C92:F92"/>
    <mergeCell ref="C93:F93"/>
    <mergeCell ref="G93:J93"/>
    <mergeCell ref="K93:N93"/>
    <mergeCell ref="O93:Q93"/>
    <mergeCell ref="R93:S93"/>
    <mergeCell ref="T93:U93"/>
    <mergeCell ref="R89:S89"/>
    <mergeCell ref="T89:U89"/>
    <mergeCell ref="C88:F88"/>
    <mergeCell ref="G88:J88"/>
    <mergeCell ref="K88:W88"/>
    <mergeCell ref="C89:F89"/>
    <mergeCell ref="G89:J89"/>
    <mergeCell ref="K89:N89"/>
    <mergeCell ref="O89:Q89"/>
    <mergeCell ref="G90:J90"/>
    <mergeCell ref="K90:N90"/>
    <mergeCell ref="O90:Q90"/>
    <mergeCell ref="R90:S90"/>
    <mergeCell ref="T90:U90"/>
    <mergeCell ref="V90:W90"/>
    <mergeCell ref="X90:Y90"/>
    <mergeCell ref="V91:W91"/>
    <mergeCell ref="X91:Y91"/>
    <mergeCell ref="C90:F90"/>
    <mergeCell ref="C91:F91"/>
    <mergeCell ref="G91:J91"/>
    <mergeCell ref="K91:N91"/>
    <mergeCell ref="O91:Q91"/>
    <mergeCell ref="R91:S91"/>
    <mergeCell ref="T91:U91"/>
    <mergeCell ref="V93:W93"/>
    <mergeCell ref="X93:Y93"/>
    <mergeCell ref="V96:W96"/>
    <mergeCell ref="X96:Y96"/>
    <mergeCell ref="G99:J99"/>
    <mergeCell ref="K99:N99"/>
    <mergeCell ref="O99:Q99"/>
    <mergeCell ref="R99:S99"/>
    <mergeCell ref="T99:U99"/>
    <mergeCell ref="V99:W99"/>
    <mergeCell ref="X99:Y99"/>
    <mergeCell ref="C99:F99"/>
    <mergeCell ref="C100:F100"/>
    <mergeCell ref="G100:J100"/>
    <mergeCell ref="K100:N100"/>
    <mergeCell ref="O100:Q100"/>
    <mergeCell ref="R100:S100"/>
    <mergeCell ref="T100:U100"/>
    <mergeCell ref="R96:S96"/>
    <mergeCell ref="T96:U96"/>
    <mergeCell ref="C95:F95"/>
    <mergeCell ref="G95:J95"/>
    <mergeCell ref="K95:W95"/>
    <mergeCell ref="C96:F96"/>
    <mergeCell ref="G96:J96"/>
    <mergeCell ref="K96:N96"/>
    <mergeCell ref="O96:Q96"/>
    <mergeCell ref="G97:J97"/>
    <mergeCell ref="K97:N97"/>
    <mergeCell ref="O97:Q97"/>
    <mergeCell ref="R97:S97"/>
    <mergeCell ref="T97:U97"/>
    <mergeCell ref="V97:W97"/>
    <mergeCell ref="X97:Y97"/>
    <mergeCell ref="V98:W98"/>
    <mergeCell ref="X98:Y98"/>
    <mergeCell ref="C97:F97"/>
    <mergeCell ref="C98:F98"/>
    <mergeCell ref="G98:J98"/>
    <mergeCell ref="K98:N98"/>
    <mergeCell ref="O98:Q98"/>
    <mergeCell ref="R98:S98"/>
    <mergeCell ref="T98:U98"/>
    <mergeCell ref="V100:W100"/>
    <mergeCell ref="X100:Y100"/>
    <mergeCell ref="V103:W103"/>
    <mergeCell ref="X103:Y103"/>
    <mergeCell ref="C72:F72"/>
    <mergeCell ref="C74:F74"/>
    <mergeCell ref="G74:J74"/>
    <mergeCell ref="C75:F75"/>
    <mergeCell ref="G75:J75"/>
    <mergeCell ref="K75:N75"/>
    <mergeCell ref="O75:Q75"/>
    <mergeCell ref="V72:W72"/>
    <mergeCell ref="V75:W75"/>
    <mergeCell ref="X75:Y75"/>
    <mergeCell ref="G72:J72"/>
    <mergeCell ref="K72:N72"/>
    <mergeCell ref="O72:Q72"/>
    <mergeCell ref="R72:S72"/>
    <mergeCell ref="T72:U72"/>
    <mergeCell ref="X72:Y72"/>
    <mergeCell ref="K74:W74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R68:S68"/>
    <mergeCell ref="T68:U68"/>
    <mergeCell ref="C67:F67"/>
    <mergeCell ref="G67:J67"/>
    <mergeCell ref="K67:W67"/>
    <mergeCell ref="C68:F68"/>
    <mergeCell ref="G68:J68"/>
    <mergeCell ref="K68:N68"/>
    <mergeCell ref="O68:Q68"/>
    <mergeCell ref="G69:J69"/>
    <mergeCell ref="K69:N69"/>
    <mergeCell ref="O69:Q69"/>
    <mergeCell ref="R69:S69"/>
    <mergeCell ref="T69:U69"/>
    <mergeCell ref="V69:W69"/>
    <mergeCell ref="X69:Y69"/>
    <mergeCell ref="V70:W70"/>
    <mergeCell ref="X70:Y70"/>
    <mergeCell ref="C69:F69"/>
    <mergeCell ref="C70:F70"/>
    <mergeCell ref="G70:J70"/>
    <mergeCell ref="K70:N70"/>
    <mergeCell ref="O70:Q70"/>
    <mergeCell ref="R70:S70"/>
    <mergeCell ref="T70:U70"/>
    <mergeCell ref="C71:F71"/>
    <mergeCell ref="G71:J71"/>
    <mergeCell ref="O71:Q71"/>
    <mergeCell ref="R71:S71"/>
    <mergeCell ref="T71:U71"/>
    <mergeCell ref="V71:W71"/>
    <mergeCell ref="X71:Y71"/>
    <mergeCell ref="T82:U82"/>
    <mergeCell ref="V82:W82"/>
    <mergeCell ref="X82:Y82"/>
    <mergeCell ref="G85:J85"/>
    <mergeCell ref="K85:N85"/>
    <mergeCell ref="O85:Q85"/>
    <mergeCell ref="R85:S85"/>
    <mergeCell ref="T85:U85"/>
    <mergeCell ref="V85:W85"/>
    <mergeCell ref="X85:Y85"/>
    <mergeCell ref="C85:F85"/>
    <mergeCell ref="C86:F86"/>
    <mergeCell ref="G86:J86"/>
    <mergeCell ref="K86:N86"/>
    <mergeCell ref="O86:Q86"/>
    <mergeCell ref="R86:S86"/>
    <mergeCell ref="T86:U86"/>
    <mergeCell ref="O82:Q82"/>
    <mergeCell ref="R82:S82"/>
    <mergeCell ref="C79:F79"/>
    <mergeCell ref="C81:F81"/>
    <mergeCell ref="G81:J81"/>
    <mergeCell ref="K81:W81"/>
    <mergeCell ref="C82:F82"/>
    <mergeCell ref="G82:J82"/>
    <mergeCell ref="K82:N82"/>
    <mergeCell ref="G83:J83"/>
    <mergeCell ref="K83:N83"/>
    <mergeCell ref="O83:Q83"/>
    <mergeCell ref="R83:S83"/>
    <mergeCell ref="T83:U83"/>
    <mergeCell ref="V83:W83"/>
    <mergeCell ref="X83:Y83"/>
    <mergeCell ref="V84:W84"/>
    <mergeCell ref="X84:Y84"/>
    <mergeCell ref="C83:F83"/>
    <mergeCell ref="C84:F84"/>
    <mergeCell ref="G84:J84"/>
    <mergeCell ref="K84:N84"/>
    <mergeCell ref="O84:Q84"/>
    <mergeCell ref="R84:S84"/>
    <mergeCell ref="T84:U84"/>
    <mergeCell ref="V86:W86"/>
    <mergeCell ref="X86:Y86"/>
    <mergeCell ref="V89:W89"/>
    <mergeCell ref="X89:Y89"/>
    <mergeCell ref="R103:S103"/>
    <mergeCell ref="T103:U103"/>
    <mergeCell ref="C102:F102"/>
    <mergeCell ref="G102:J102"/>
    <mergeCell ref="K102:W102"/>
    <mergeCell ref="C103:F103"/>
    <mergeCell ref="G103:J103"/>
    <mergeCell ref="K103:N103"/>
    <mergeCell ref="O103:Q103"/>
    <mergeCell ref="G104:J104"/>
    <mergeCell ref="K104:N104"/>
    <mergeCell ref="O104:Q104"/>
    <mergeCell ref="R104:S104"/>
    <mergeCell ref="T104:U104"/>
    <mergeCell ref="V104:W104"/>
    <mergeCell ref="X104:Y104"/>
    <mergeCell ref="V105:W105"/>
    <mergeCell ref="X105:Y105"/>
    <mergeCell ref="C104:F104"/>
    <mergeCell ref="C105:F105"/>
    <mergeCell ref="G105:J105"/>
    <mergeCell ref="K105:N105"/>
    <mergeCell ref="O105:Q105"/>
    <mergeCell ref="R105:S105"/>
    <mergeCell ref="T105:U105"/>
    <mergeCell ref="G106:J106"/>
    <mergeCell ref="K106:N106"/>
    <mergeCell ref="O106:Q106"/>
    <mergeCell ref="R106:S106"/>
    <mergeCell ref="T106:U106"/>
    <mergeCell ref="V106:W106"/>
    <mergeCell ref="X106:Y106"/>
    <mergeCell ref="V107:W107"/>
    <mergeCell ref="X107:Y107"/>
    <mergeCell ref="C106:F106"/>
    <mergeCell ref="C107:F107"/>
    <mergeCell ref="G107:J107"/>
    <mergeCell ref="K107:N107"/>
    <mergeCell ref="O107:Q107"/>
    <mergeCell ref="R107:S107"/>
    <mergeCell ref="T107:U10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38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63" t="s">
        <v>240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8.5" customHeight="1"/>
    <row r="3" ht="52.5" customHeight="1">
      <c r="A3" s="64">
        <f>'Invetario de Tablas'!A4</f>
        <v>1</v>
      </c>
      <c r="B3" s="65" t="s">
        <v>88</v>
      </c>
      <c r="C3" s="66" t="str">
        <f>'Invetario de Tablas'!B4</f>
        <v>rol</v>
      </c>
      <c r="D3" s="67"/>
      <c r="E3" s="67"/>
      <c r="F3" s="68"/>
      <c r="G3" s="69" t="s">
        <v>89</v>
      </c>
      <c r="H3" s="28"/>
      <c r="I3" s="28"/>
      <c r="J3" s="29"/>
      <c r="K3" s="70" t="str">
        <f>'Invetario de Tablas'!C4</f>
        <v>Define los tipos de usuario del sistema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8"/>
      <c r="X3" s="71" t="s">
        <v>138</v>
      </c>
      <c r="Y3" s="33">
        <v>8.0</v>
      </c>
    </row>
    <row r="4" ht="35.25" customHeight="1">
      <c r="A4" s="72" t="s">
        <v>1</v>
      </c>
      <c r="B4" s="73" t="s">
        <v>139</v>
      </c>
      <c r="C4" s="74" t="s">
        <v>140</v>
      </c>
      <c r="D4" s="3"/>
      <c r="E4" s="3"/>
      <c r="F4" s="75"/>
      <c r="G4" s="76" t="s">
        <v>241</v>
      </c>
      <c r="H4" s="77"/>
      <c r="I4" s="77"/>
      <c r="J4" s="78"/>
      <c r="K4" s="74" t="s">
        <v>142</v>
      </c>
      <c r="L4" s="3"/>
      <c r="M4" s="3"/>
      <c r="N4" s="75"/>
      <c r="O4" s="74" t="s">
        <v>143</v>
      </c>
      <c r="P4" s="3"/>
      <c r="Q4" s="75"/>
      <c r="R4" s="74" t="s">
        <v>144</v>
      </c>
      <c r="S4" s="75"/>
      <c r="T4" s="74" t="s">
        <v>145</v>
      </c>
      <c r="U4" s="75"/>
      <c r="V4" s="74" t="s">
        <v>146</v>
      </c>
      <c r="W4" s="75"/>
      <c r="X4" s="76" t="s">
        <v>147</v>
      </c>
      <c r="Y4" s="79"/>
    </row>
    <row r="5" ht="30.0" customHeight="1">
      <c r="A5" s="80">
        <v>1.0</v>
      </c>
      <c r="B5" s="81" t="str">
        <f>'Diccionario Datos - PostgreSQL'!B5</f>
        <v>id_rol</v>
      </c>
      <c r="C5" s="82" t="str">
        <f>'Diccionario Datos - PostgreSQL'!C5</f>
        <v>identificacion del rol</v>
      </c>
      <c r="D5" s="67"/>
      <c r="E5" s="67"/>
      <c r="F5" s="68"/>
      <c r="G5" s="83" t="s">
        <v>13</v>
      </c>
      <c r="H5" s="67"/>
      <c r="I5" s="67"/>
      <c r="J5" s="68"/>
      <c r="K5" s="82"/>
      <c r="L5" s="67"/>
      <c r="M5" s="67"/>
      <c r="N5" s="68"/>
      <c r="O5" s="83" t="s">
        <v>151</v>
      </c>
      <c r="P5" s="67"/>
      <c r="Q5" s="68"/>
      <c r="R5" s="82" t="str">
        <f>'Diccionario Datos - PostgreSQL'!R5</f>
        <v>s</v>
      </c>
      <c r="S5" s="68"/>
      <c r="T5" s="82"/>
      <c r="U5" s="68"/>
      <c r="V5" s="83" t="s">
        <v>152</v>
      </c>
      <c r="W5" s="68"/>
      <c r="X5" s="82" t="str">
        <f>'Diccionario Datos - PostgreSQL'!X5</f>
        <v>clave primaria</v>
      </c>
      <c r="Y5" s="68"/>
    </row>
    <row r="6" ht="30.0" customHeight="1">
      <c r="A6" s="80">
        <v>2.0</v>
      </c>
      <c r="B6" s="81" t="str">
        <f>'Diccionario Datos - PostgreSQL'!B6</f>
        <v>nombre</v>
      </c>
      <c r="C6" s="82" t="str">
        <f>'Diccionario Datos - PostgreSQL'!C6</f>
        <v>nombre del rol</v>
      </c>
      <c r="D6" s="67"/>
      <c r="E6" s="67"/>
      <c r="F6" s="68"/>
      <c r="G6" s="83" t="s">
        <v>156</v>
      </c>
      <c r="H6" s="67"/>
      <c r="I6" s="67"/>
      <c r="J6" s="68"/>
      <c r="K6" s="82">
        <f>'Diccionario Datos - PostgreSQL'!K6</f>
        <v>50</v>
      </c>
      <c r="L6" s="67"/>
      <c r="M6" s="67"/>
      <c r="N6" s="68"/>
      <c r="O6" s="83" t="s">
        <v>151</v>
      </c>
      <c r="P6" s="67"/>
      <c r="Q6" s="68"/>
      <c r="R6" s="82"/>
      <c r="S6" s="68"/>
      <c r="T6" s="82"/>
      <c r="U6" s="68"/>
      <c r="V6" s="83" t="s">
        <v>152</v>
      </c>
      <c r="W6" s="68"/>
      <c r="X6" s="82" t="str">
        <f>'Diccionario Datos - PostgreSQL'!X6</f>
        <v>valor unico</v>
      </c>
      <c r="Y6" s="68"/>
    </row>
    <row r="7" ht="36.0" customHeight="1"/>
    <row r="8" ht="41.25" customHeight="1">
      <c r="A8" s="64">
        <f>'Invetario de Tablas'!A5</f>
        <v>2</v>
      </c>
      <c r="B8" s="65" t="s">
        <v>88</v>
      </c>
      <c r="C8" s="66" t="str">
        <f>'Invetario de Tablas'!B5</f>
        <v>usuario</v>
      </c>
      <c r="D8" s="67"/>
      <c r="E8" s="67"/>
      <c r="F8" s="68"/>
      <c r="G8" s="69" t="s">
        <v>89</v>
      </c>
      <c r="H8" s="28"/>
      <c r="I8" s="28"/>
      <c r="J8" s="29"/>
      <c r="K8" s="70" t="str">
        <f>'Invetario de Tablas'!C5</f>
        <v>Usuarios del sistema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8"/>
      <c r="X8" s="71" t="s">
        <v>138</v>
      </c>
      <c r="Y8" s="33">
        <v>8.0</v>
      </c>
    </row>
    <row r="9" ht="32.25" customHeight="1">
      <c r="A9" s="72" t="s">
        <v>1</v>
      </c>
      <c r="B9" s="73" t="s">
        <v>139</v>
      </c>
      <c r="C9" s="74" t="s">
        <v>140</v>
      </c>
      <c r="D9" s="3"/>
      <c r="E9" s="3"/>
      <c r="F9" s="75"/>
      <c r="G9" s="76" t="s">
        <v>241</v>
      </c>
      <c r="H9" s="77"/>
      <c r="I9" s="77"/>
      <c r="J9" s="78"/>
      <c r="K9" s="74" t="s">
        <v>142</v>
      </c>
      <c r="L9" s="3"/>
      <c r="M9" s="3"/>
      <c r="N9" s="75"/>
      <c r="O9" s="74" t="s">
        <v>143</v>
      </c>
      <c r="P9" s="3"/>
      <c r="Q9" s="75"/>
      <c r="R9" s="74" t="s">
        <v>144</v>
      </c>
      <c r="S9" s="75"/>
      <c r="T9" s="74" t="s">
        <v>145</v>
      </c>
      <c r="U9" s="75"/>
      <c r="V9" s="74" t="s">
        <v>146</v>
      </c>
      <c r="W9" s="75"/>
      <c r="X9" s="76" t="s">
        <v>147</v>
      </c>
      <c r="Y9" s="79"/>
    </row>
    <row r="10" ht="30.0" customHeight="1">
      <c r="A10" s="40">
        <v>1.0</v>
      </c>
      <c r="B10" s="38" t="str">
        <f>'Diccionario Datos - PostgreSQL'!B10</f>
        <v>id_usuarios</v>
      </c>
      <c r="C10" s="39" t="str">
        <f>'Diccionario Datos - PostgreSQL'!C10</f>
        <v>identificacion de usuario</v>
      </c>
      <c r="D10" s="11"/>
      <c r="E10" s="11"/>
      <c r="F10" s="12"/>
      <c r="G10" s="42" t="s">
        <v>13</v>
      </c>
      <c r="H10" s="11"/>
      <c r="I10" s="11"/>
      <c r="J10" s="12"/>
      <c r="K10" s="39" t="str">
        <f>'Diccionario Datos - PostgreSQL'!K10</f>
        <v/>
      </c>
      <c r="L10" s="11"/>
      <c r="M10" s="11"/>
      <c r="N10" s="12"/>
      <c r="O10" s="39" t="str">
        <f>'Diccionario Datos - PostgreSQL'!O10</f>
        <v>no</v>
      </c>
      <c r="P10" s="11"/>
      <c r="Q10" s="12"/>
      <c r="R10" s="42" t="s">
        <v>187</v>
      </c>
      <c r="S10" s="12"/>
      <c r="T10" s="39"/>
      <c r="U10" s="12"/>
      <c r="V10" s="42" t="s">
        <v>187</v>
      </c>
      <c r="W10" s="12"/>
      <c r="X10" s="39" t="str">
        <f>'Diccionario Datos - PostgreSQL'!X10</f>
        <v>clave primaria</v>
      </c>
      <c r="Y10" s="36"/>
    </row>
    <row r="11" ht="30.0" customHeight="1">
      <c r="A11" s="40">
        <v>2.0</v>
      </c>
      <c r="B11" s="38" t="str">
        <f>'Diccionario Datos - PostgreSQL'!B11</f>
        <v>nombre</v>
      </c>
      <c r="C11" s="39" t="str">
        <f>'Diccionario Datos - PostgreSQL'!C11</f>
        <v>nombre del usuario</v>
      </c>
      <c r="D11" s="11"/>
      <c r="E11" s="11"/>
      <c r="F11" s="12"/>
      <c r="G11" s="42" t="s">
        <v>156</v>
      </c>
      <c r="H11" s="11"/>
      <c r="I11" s="11"/>
      <c r="J11" s="12"/>
      <c r="K11" s="39">
        <f>'Diccionario Datos - PostgreSQL'!K11</f>
        <v>100</v>
      </c>
      <c r="L11" s="11"/>
      <c r="M11" s="11"/>
      <c r="N11" s="12"/>
      <c r="O11" s="39" t="str">
        <f>'Diccionario Datos - PostgreSQL'!O11</f>
        <v>no</v>
      </c>
      <c r="P11" s="11"/>
      <c r="Q11" s="12"/>
      <c r="R11" s="39"/>
      <c r="S11" s="12"/>
      <c r="T11" s="39"/>
      <c r="U11" s="12"/>
      <c r="V11" s="39"/>
      <c r="W11" s="12"/>
      <c r="X11" s="39" t="str">
        <f>'Diccionario Datos - PostgreSQL'!X11</f>
        <v/>
      </c>
      <c r="Y11" s="36"/>
    </row>
    <row r="12" ht="30.0" customHeight="1">
      <c r="A12" s="40">
        <v>3.0</v>
      </c>
      <c r="B12" s="38" t="str">
        <f>'Diccionario Datos - PostgreSQL'!B12</f>
        <v>correo</v>
      </c>
      <c r="C12" s="39" t="str">
        <f>'Diccionario Datos - PostgreSQL'!C12</f>
        <v>correo electronico</v>
      </c>
      <c r="D12" s="11"/>
      <c r="E12" s="11"/>
      <c r="F12" s="12"/>
      <c r="G12" s="42" t="s">
        <v>156</v>
      </c>
      <c r="H12" s="11"/>
      <c r="I12" s="11"/>
      <c r="J12" s="12"/>
      <c r="K12" s="39">
        <f>'Diccionario Datos - PostgreSQL'!K12</f>
        <v>100</v>
      </c>
      <c r="L12" s="11"/>
      <c r="M12" s="11"/>
      <c r="N12" s="12"/>
      <c r="O12" s="39" t="str">
        <f>'Diccionario Datos - PostgreSQL'!O12</f>
        <v>no</v>
      </c>
      <c r="P12" s="11"/>
      <c r="Q12" s="12"/>
      <c r="R12" s="39"/>
      <c r="S12" s="12"/>
      <c r="T12" s="39"/>
      <c r="U12" s="12"/>
      <c r="V12" s="42" t="s">
        <v>187</v>
      </c>
      <c r="W12" s="12"/>
      <c r="X12" s="39" t="str">
        <f>'Diccionario Datos - PostgreSQL'!X12</f>
        <v>unico</v>
      </c>
      <c r="Y12" s="36"/>
    </row>
    <row r="13" ht="30.0" customHeight="1">
      <c r="A13" s="40">
        <v>4.0</v>
      </c>
      <c r="B13" s="38" t="str">
        <f>'Diccionario Datos - PostgreSQL'!B13</f>
        <v>id_rol</v>
      </c>
      <c r="C13" s="39" t="str">
        <f>'Diccionario Datos - PostgreSQL'!C13</f>
        <v>rol asignado</v>
      </c>
      <c r="D13" s="11"/>
      <c r="E13" s="11"/>
      <c r="F13" s="12"/>
      <c r="G13" s="42" t="s">
        <v>165</v>
      </c>
      <c r="H13" s="11"/>
      <c r="I13" s="11"/>
      <c r="J13" s="12"/>
      <c r="K13" s="39" t="str">
        <f>'Diccionario Datos - PostgreSQL'!K13</f>
        <v/>
      </c>
      <c r="L13" s="11"/>
      <c r="M13" s="11"/>
      <c r="N13" s="12"/>
      <c r="O13" s="39" t="str">
        <f>'Diccionario Datos - PostgreSQL'!O13</f>
        <v>no</v>
      </c>
      <c r="P13" s="11"/>
      <c r="Q13" s="12"/>
      <c r="R13" s="39"/>
      <c r="S13" s="12"/>
      <c r="T13" s="42" t="s">
        <v>187</v>
      </c>
      <c r="U13" s="12"/>
      <c r="V13" s="39"/>
      <c r="W13" s="12"/>
      <c r="X13" s="39" t="str">
        <f>'Diccionario Datos - PostgreSQL'!X13</f>
        <v>relacion con roles</v>
      </c>
      <c r="Y13" s="36"/>
    </row>
    <row r="14" ht="48.0" customHeight="1">
      <c r="A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ht="35.25" customHeight="1">
      <c r="A15" s="64">
        <f>'Diccionario Datos - PostgreSQL'!A15</f>
        <v>3</v>
      </c>
      <c r="B15" s="69" t="s">
        <v>88</v>
      </c>
      <c r="C15" s="85" t="str">
        <f>'Diccionario Datos - PostgreSQL'!C15</f>
        <v>apiario</v>
      </c>
      <c r="D15" s="86"/>
      <c r="E15" s="86"/>
      <c r="F15" s="87"/>
      <c r="G15" s="88" t="s">
        <v>89</v>
      </c>
      <c r="H15" s="28"/>
      <c r="I15" s="28"/>
      <c r="J15" s="29"/>
      <c r="K15" s="89" t="str">
        <f>'Diccionario Datos - PostgreSQL'!K15</f>
        <v>Ubicación de colmenas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7"/>
      <c r="X15" s="90" t="s">
        <v>138</v>
      </c>
      <c r="Y15" s="33">
        <v>8.0</v>
      </c>
    </row>
    <row r="16" ht="24.75" customHeight="1">
      <c r="A16" s="72" t="s">
        <v>1</v>
      </c>
      <c r="B16" s="73" t="s">
        <v>139</v>
      </c>
      <c r="C16" s="74" t="s">
        <v>140</v>
      </c>
      <c r="D16" s="3"/>
      <c r="E16" s="3"/>
      <c r="F16" s="75"/>
      <c r="G16" s="76" t="s">
        <v>241</v>
      </c>
      <c r="H16" s="77"/>
      <c r="I16" s="77"/>
      <c r="J16" s="78"/>
      <c r="K16" s="74" t="s">
        <v>142</v>
      </c>
      <c r="L16" s="3"/>
      <c r="M16" s="3"/>
      <c r="N16" s="75"/>
      <c r="O16" s="74" t="s">
        <v>143</v>
      </c>
      <c r="P16" s="3"/>
      <c r="Q16" s="75"/>
      <c r="R16" s="91" t="s">
        <v>144</v>
      </c>
      <c r="S16" s="92"/>
      <c r="T16" s="91" t="s">
        <v>145</v>
      </c>
      <c r="U16" s="92"/>
      <c r="V16" s="74" t="s">
        <v>146</v>
      </c>
      <c r="W16" s="75"/>
      <c r="X16" s="93" t="s">
        <v>147</v>
      </c>
      <c r="Y16" s="94"/>
    </row>
    <row r="17" ht="32.25" customHeight="1">
      <c r="A17" s="40">
        <v>1.0</v>
      </c>
      <c r="B17" s="38" t="str">
        <f>'Diccionario Datos - PostgreSQL'!B17</f>
        <v>id_apiarios</v>
      </c>
      <c r="C17" s="95" t="str">
        <f>'Diccionario Datos - PostgreSQL'!C17</f>
        <v>identificador</v>
      </c>
      <c r="D17" s="96"/>
      <c r="E17" s="96"/>
      <c r="F17" s="97"/>
      <c r="G17" s="98" t="s">
        <v>13</v>
      </c>
      <c r="H17" s="96"/>
      <c r="I17" s="96"/>
      <c r="J17" s="97"/>
      <c r="K17" s="95" t="str">
        <f>'Diccionario Datos - PostgreSQL'!K17</f>
        <v/>
      </c>
      <c r="L17" s="96"/>
      <c r="M17" s="96"/>
      <c r="N17" s="97"/>
      <c r="O17" s="95" t="str">
        <f>'Diccionario Datos - PostgreSQL'!O17</f>
        <v>no</v>
      </c>
      <c r="P17" s="96"/>
      <c r="Q17" s="97"/>
      <c r="R17" s="42" t="s">
        <v>187</v>
      </c>
      <c r="S17" s="12"/>
      <c r="T17" s="39"/>
      <c r="U17" s="12"/>
      <c r="V17" s="98" t="s">
        <v>187</v>
      </c>
      <c r="W17" s="97"/>
      <c r="X17" s="39" t="str">
        <f>'Diccionario Datos - PostgreSQL'!X17</f>
        <v>clave primaria</v>
      </c>
      <c r="Y17" s="36"/>
    </row>
    <row r="18" ht="27.0" customHeight="1">
      <c r="A18" s="40">
        <v>2.0</v>
      </c>
      <c r="B18" s="38" t="str">
        <f>'Diccionario Datos - PostgreSQL'!B18</f>
        <v>ubicación</v>
      </c>
      <c r="C18" s="95" t="str">
        <f>'Diccionario Datos - PostgreSQL'!C18</f>
        <v>ubicación de apiario</v>
      </c>
      <c r="D18" s="96"/>
      <c r="E18" s="96"/>
      <c r="F18" s="97"/>
      <c r="G18" s="42" t="s">
        <v>156</v>
      </c>
      <c r="H18" s="11"/>
      <c r="I18" s="11"/>
      <c r="J18" s="12"/>
      <c r="K18" s="39">
        <f>'Diccionario Datos - PostgreSQL'!K18</f>
        <v>150</v>
      </c>
      <c r="L18" s="11"/>
      <c r="M18" s="11"/>
      <c r="N18" s="12"/>
      <c r="O18" s="39" t="str">
        <f>'Diccionario Datos - PostgreSQL'!O18</f>
        <v>no</v>
      </c>
      <c r="P18" s="11"/>
      <c r="Q18" s="12"/>
      <c r="R18" s="39"/>
      <c r="S18" s="12"/>
      <c r="T18" s="39"/>
      <c r="U18" s="12"/>
      <c r="V18" s="39"/>
      <c r="W18" s="12"/>
      <c r="X18" s="39" t="str">
        <f>'Diccionario Datos - PostgreSQL'!X18</f>
        <v/>
      </c>
      <c r="Y18" s="36"/>
    </row>
    <row r="19" ht="15.75" customHeight="1">
      <c r="A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ht="24.75" customHeight="1">
      <c r="A20" s="64">
        <f>'Diccionario Datos - PostgreSQL'!A20</f>
        <v>4</v>
      </c>
      <c r="B20" s="69" t="s">
        <v>88</v>
      </c>
      <c r="C20" s="85" t="str">
        <f>'Diccionario Datos - PostgreSQL'!C20</f>
        <v>colmena</v>
      </c>
      <c r="D20" s="86"/>
      <c r="E20" s="86"/>
      <c r="F20" s="87"/>
      <c r="G20" s="88" t="s">
        <v>89</v>
      </c>
      <c r="H20" s="28"/>
      <c r="I20" s="28"/>
      <c r="J20" s="29"/>
      <c r="K20" s="89" t="str">
        <f>'Diccionario Datos - PostgreSQL'!K20</f>
        <v>Registra colmenas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7"/>
      <c r="X20" s="90" t="s">
        <v>138</v>
      </c>
      <c r="Y20" s="33">
        <v>8.0</v>
      </c>
    </row>
    <row r="21" ht="26.25" customHeight="1">
      <c r="A21" s="72" t="s">
        <v>1</v>
      </c>
      <c r="B21" s="73" t="s">
        <v>139</v>
      </c>
      <c r="C21" s="74" t="s">
        <v>140</v>
      </c>
      <c r="D21" s="3"/>
      <c r="E21" s="3"/>
      <c r="F21" s="75"/>
      <c r="G21" s="76" t="s">
        <v>241</v>
      </c>
      <c r="H21" s="77"/>
      <c r="I21" s="77"/>
      <c r="J21" s="78"/>
      <c r="K21" s="74" t="s">
        <v>142</v>
      </c>
      <c r="L21" s="3"/>
      <c r="M21" s="3"/>
      <c r="N21" s="75"/>
      <c r="O21" s="74" t="s">
        <v>143</v>
      </c>
      <c r="P21" s="3"/>
      <c r="Q21" s="75"/>
      <c r="R21" s="91" t="s">
        <v>144</v>
      </c>
      <c r="S21" s="92"/>
      <c r="T21" s="91" t="s">
        <v>145</v>
      </c>
      <c r="U21" s="92"/>
      <c r="V21" s="74" t="s">
        <v>146</v>
      </c>
      <c r="W21" s="75"/>
      <c r="X21" s="93" t="s">
        <v>147</v>
      </c>
      <c r="Y21" s="94"/>
    </row>
    <row r="22" ht="21.0" customHeight="1">
      <c r="A22" s="40">
        <v>1.0</v>
      </c>
      <c r="B22" s="38" t="str">
        <f>'Diccionario Datos - PostgreSQL'!B22</f>
        <v>id_colmenas</v>
      </c>
      <c r="C22" s="95" t="str">
        <f>'Diccionario Datos - PostgreSQL'!C22</f>
        <v>identificacion de usuario</v>
      </c>
      <c r="D22" s="96"/>
      <c r="E22" s="96"/>
      <c r="F22" s="97"/>
      <c r="G22" s="98" t="s">
        <v>13</v>
      </c>
      <c r="H22" s="96"/>
      <c r="I22" s="96"/>
      <c r="J22" s="97"/>
      <c r="K22" s="95" t="str">
        <f>'Diccionario Datos - PostgreSQL'!K22</f>
        <v/>
      </c>
      <c r="L22" s="96"/>
      <c r="M22" s="96"/>
      <c r="N22" s="97"/>
      <c r="O22" s="95" t="str">
        <f>'Diccionario Datos - PostgreSQL'!O22</f>
        <v>no</v>
      </c>
      <c r="P22" s="96"/>
      <c r="Q22" s="97"/>
      <c r="R22" s="42" t="s">
        <v>187</v>
      </c>
      <c r="S22" s="12"/>
      <c r="T22" s="39"/>
      <c r="U22" s="12"/>
      <c r="V22" s="98" t="s">
        <v>187</v>
      </c>
      <c r="W22" s="97"/>
      <c r="X22" s="39" t="str">
        <f>'Diccionario Datos - PostgreSQL'!X22</f>
        <v>clave primaria</v>
      </c>
      <c r="Y22" s="36"/>
    </row>
    <row r="23" ht="30.0" customHeight="1">
      <c r="A23" s="99">
        <v>2.0</v>
      </c>
      <c r="B23" s="38" t="str">
        <f>'Diccionario Datos - PostgreSQL'!B23</f>
        <v>id_apiarios</v>
      </c>
      <c r="C23" s="95" t="str">
        <f>'Diccionario Datos - PostgreSQL'!C23</f>
        <v>nombre del usuario</v>
      </c>
      <c r="D23" s="96"/>
      <c r="E23" s="96"/>
      <c r="F23" s="97"/>
      <c r="G23" s="98" t="s">
        <v>165</v>
      </c>
      <c r="H23" s="96"/>
      <c r="I23" s="96"/>
      <c r="J23" s="97"/>
      <c r="K23" s="95"/>
      <c r="L23" s="96"/>
      <c r="M23" s="96"/>
      <c r="N23" s="97"/>
      <c r="O23" s="95" t="str">
        <f>'Diccionario Datos - PostgreSQL'!O23</f>
        <v>no</v>
      </c>
      <c r="P23" s="96"/>
      <c r="Q23" s="97"/>
      <c r="R23" s="42"/>
      <c r="S23" s="12"/>
      <c r="T23" s="42" t="s">
        <v>187</v>
      </c>
      <c r="U23" s="12"/>
      <c r="V23" s="98"/>
      <c r="W23" s="97"/>
      <c r="X23" s="39" t="str">
        <f>'Diccionario Datos - PostgreSQL'!X23</f>
        <v>Relacion con apiarios</v>
      </c>
      <c r="Y23" s="36"/>
    </row>
    <row r="24" ht="30.0" customHeight="1">
      <c r="A24" s="99">
        <v>3.0</v>
      </c>
      <c r="B24" s="38" t="str">
        <f>'Diccionario Datos - PostgreSQL'!B24</f>
        <v>estado</v>
      </c>
      <c r="C24" s="95" t="str">
        <f>'Diccionario Datos - PostgreSQL'!C24</f>
        <v>correo electronico</v>
      </c>
      <c r="D24" s="96"/>
      <c r="E24" s="96"/>
      <c r="F24" s="97"/>
      <c r="G24" s="98" t="s">
        <v>156</v>
      </c>
      <c r="H24" s="96"/>
      <c r="I24" s="96"/>
      <c r="J24" s="97"/>
      <c r="K24" s="42">
        <v>50.0</v>
      </c>
      <c r="L24" s="11"/>
      <c r="M24" s="11"/>
      <c r="N24" s="12"/>
      <c r="O24" s="95" t="str">
        <f>'Diccionario Datos - PostgreSQL'!O24</f>
        <v>si</v>
      </c>
      <c r="P24" s="96"/>
      <c r="Q24" s="97"/>
      <c r="R24" s="42"/>
      <c r="S24" s="12"/>
      <c r="T24" s="39"/>
      <c r="U24" s="12"/>
      <c r="V24" s="39"/>
      <c r="W24" s="12"/>
      <c r="X24" s="39" t="str">
        <f>'Diccionario Datos - PostgreSQL'!X24</f>
        <v/>
      </c>
      <c r="Y24" s="36"/>
    </row>
    <row r="25" ht="17.25" customHeight="1">
      <c r="A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ht="33.75" customHeight="1">
      <c r="A26" s="64">
        <f>'Diccionario Datos - PostgreSQL'!A27</f>
        <v>5</v>
      </c>
      <c r="B26" s="69" t="s">
        <v>88</v>
      </c>
      <c r="C26" s="85" t="str">
        <f>'Diccionario Datos - PostgreSQL'!C27</f>
        <v>sensor_iot</v>
      </c>
      <c r="D26" s="86"/>
      <c r="E26" s="86"/>
      <c r="F26" s="87"/>
      <c r="G26" s="88" t="s">
        <v>89</v>
      </c>
      <c r="H26" s="28"/>
      <c r="I26" s="28"/>
      <c r="J26" s="29"/>
      <c r="K26" s="89" t="str">
        <f>'Diccionario Datos - PostgreSQL'!K27</f>
        <v>sensores instalados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7"/>
      <c r="X26" s="90" t="s">
        <v>138</v>
      </c>
      <c r="Y26" s="33">
        <v>8.0</v>
      </c>
    </row>
    <row r="27" ht="21.75" customHeight="1">
      <c r="A27" s="72" t="s">
        <v>1</v>
      </c>
      <c r="B27" s="73" t="s">
        <v>139</v>
      </c>
      <c r="C27" s="74" t="s">
        <v>140</v>
      </c>
      <c r="D27" s="3"/>
      <c r="E27" s="3"/>
      <c r="F27" s="75"/>
      <c r="G27" s="76" t="s">
        <v>241</v>
      </c>
      <c r="H27" s="77"/>
      <c r="I27" s="77"/>
      <c r="J27" s="78"/>
      <c r="K27" s="74" t="s">
        <v>142</v>
      </c>
      <c r="L27" s="3"/>
      <c r="M27" s="3"/>
      <c r="N27" s="75"/>
      <c r="O27" s="74" t="s">
        <v>143</v>
      </c>
      <c r="P27" s="3"/>
      <c r="Q27" s="75"/>
      <c r="R27" s="91" t="s">
        <v>144</v>
      </c>
      <c r="S27" s="92"/>
      <c r="T27" s="91" t="s">
        <v>145</v>
      </c>
      <c r="U27" s="92"/>
      <c r="V27" s="74" t="s">
        <v>146</v>
      </c>
      <c r="W27" s="75"/>
      <c r="X27" s="93" t="s">
        <v>147</v>
      </c>
      <c r="Y27" s="94"/>
    </row>
    <row r="28" ht="21.75" customHeight="1">
      <c r="A28" s="40">
        <v>1.0</v>
      </c>
      <c r="B28" s="38" t="str">
        <f>'Diccionario Datos - PostgreSQL'!B29</f>
        <v>id_sensor</v>
      </c>
      <c r="C28" s="95" t="str">
        <f>'Diccionario Datos - PostgreSQL'!C29</f>
        <v>identificador</v>
      </c>
      <c r="D28" s="96"/>
      <c r="E28" s="96"/>
      <c r="F28" s="97"/>
      <c r="G28" s="98" t="s">
        <v>13</v>
      </c>
      <c r="H28" s="96"/>
      <c r="I28" s="96"/>
      <c r="J28" s="97"/>
      <c r="K28" s="95"/>
      <c r="L28" s="96"/>
      <c r="M28" s="96"/>
      <c r="N28" s="97"/>
      <c r="O28" s="98" t="s">
        <v>151</v>
      </c>
      <c r="P28" s="96"/>
      <c r="Q28" s="97"/>
      <c r="R28" s="42" t="s">
        <v>152</v>
      </c>
      <c r="S28" s="12"/>
      <c r="T28" s="39"/>
      <c r="U28" s="12"/>
      <c r="V28" s="98" t="s">
        <v>187</v>
      </c>
      <c r="W28" s="97"/>
      <c r="X28" s="39" t="str">
        <f>'Diccionario Datos - PostgreSQL'!X29</f>
        <v>clave primaria</v>
      </c>
      <c r="Y28" s="36"/>
    </row>
    <row r="29" ht="22.5" customHeight="1">
      <c r="A29" s="99">
        <v>2.0</v>
      </c>
      <c r="B29" s="38" t="str">
        <f>'Diccionario Datos - PostgreSQL'!B30</f>
        <v>id_colmena</v>
      </c>
      <c r="C29" s="95" t="str">
        <f>'Diccionario Datos - PostgreSQL'!C30</f>
        <v>colmena asociada</v>
      </c>
      <c r="D29" s="96"/>
      <c r="E29" s="96"/>
      <c r="F29" s="97"/>
      <c r="G29" s="98" t="s">
        <v>165</v>
      </c>
      <c r="H29" s="96"/>
      <c r="I29" s="96"/>
      <c r="J29" s="97"/>
      <c r="K29" s="95"/>
      <c r="L29" s="96"/>
      <c r="M29" s="96"/>
      <c r="N29" s="97"/>
      <c r="O29" s="95" t="str">
        <f>'Diccionario Datos - PostgreSQL'!O29</f>
        <v>no</v>
      </c>
      <c r="P29" s="96"/>
      <c r="Q29" s="97"/>
      <c r="R29" s="42"/>
      <c r="S29" s="12"/>
      <c r="T29" s="42" t="s">
        <v>187</v>
      </c>
      <c r="U29" s="12"/>
      <c r="V29" s="98"/>
      <c r="W29" s="97"/>
      <c r="X29" s="39" t="str">
        <f>'Diccionario Datos - PostgreSQL'!X30</f>
        <v>relacion con colmenas</v>
      </c>
      <c r="Y29" s="36"/>
    </row>
    <row r="30" ht="22.5" customHeight="1">
      <c r="A30" s="99">
        <v>3.0</v>
      </c>
      <c r="B30" s="38" t="str">
        <f>'Diccionario Datos - PostgreSQL'!B31</f>
        <v>tipo</v>
      </c>
      <c r="C30" s="95" t="str">
        <f>'Diccionario Datos - PostgreSQL'!C31</f>
        <v>tipo de sensor</v>
      </c>
      <c r="D30" s="96"/>
      <c r="E30" s="96"/>
      <c r="F30" s="97"/>
      <c r="G30" s="98" t="s">
        <v>156</v>
      </c>
      <c r="H30" s="96"/>
      <c r="I30" s="96"/>
      <c r="J30" s="97"/>
      <c r="K30" s="42">
        <v>50.0</v>
      </c>
      <c r="L30" s="11"/>
      <c r="M30" s="11"/>
      <c r="N30" s="12"/>
      <c r="O30" s="95" t="str">
        <f>'Diccionario Datos - PostgreSQL'!O30</f>
        <v>no</v>
      </c>
      <c r="P30" s="96"/>
      <c r="Q30" s="97"/>
      <c r="R30" s="42"/>
      <c r="S30" s="12"/>
      <c r="T30" s="39"/>
      <c r="U30" s="12"/>
      <c r="V30" s="39"/>
      <c r="W30" s="12"/>
      <c r="X30" s="39" t="str">
        <f>'Diccionario Datos - PostgreSQL'!X31</f>
        <v/>
      </c>
      <c r="Y30" s="36"/>
    </row>
    <row r="31" ht="15.75" customHeight="1">
      <c r="A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ht="27.75" customHeight="1">
      <c r="A32" s="64">
        <f>'Diccionario Datos - PostgreSQL'!A35</f>
        <v>6</v>
      </c>
      <c r="B32" s="69" t="s">
        <v>88</v>
      </c>
      <c r="C32" s="85" t="str">
        <f>'Diccionario Datos - PostgreSQL'!C35</f>
        <v>dato_sensor</v>
      </c>
      <c r="D32" s="86"/>
      <c r="E32" s="86"/>
      <c r="F32" s="87"/>
      <c r="G32" s="88" t="s">
        <v>89</v>
      </c>
      <c r="H32" s="28"/>
      <c r="I32" s="28"/>
      <c r="J32" s="29"/>
      <c r="K32" s="89" t="str">
        <f>'Diccionario Datos - PostgreSQL'!K35</f>
        <v>Registros de sensores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7"/>
      <c r="X32" s="90" t="s">
        <v>138</v>
      </c>
      <c r="Y32" s="33">
        <v>8.0</v>
      </c>
    </row>
    <row r="33" ht="15.75" customHeight="1">
      <c r="A33" s="72" t="s">
        <v>1</v>
      </c>
      <c r="B33" s="73" t="s">
        <v>139</v>
      </c>
      <c r="C33" s="74" t="s">
        <v>140</v>
      </c>
      <c r="D33" s="3"/>
      <c r="E33" s="3"/>
      <c r="F33" s="75"/>
      <c r="G33" s="76" t="s">
        <v>241</v>
      </c>
      <c r="H33" s="77"/>
      <c r="I33" s="77"/>
      <c r="J33" s="78"/>
      <c r="K33" s="74" t="s">
        <v>142</v>
      </c>
      <c r="L33" s="3"/>
      <c r="M33" s="3"/>
      <c r="N33" s="75"/>
      <c r="O33" s="74" t="s">
        <v>143</v>
      </c>
      <c r="P33" s="3"/>
      <c r="Q33" s="75"/>
      <c r="R33" s="91" t="s">
        <v>144</v>
      </c>
      <c r="S33" s="92"/>
      <c r="T33" s="91" t="s">
        <v>145</v>
      </c>
      <c r="U33" s="92"/>
      <c r="V33" s="74" t="s">
        <v>146</v>
      </c>
      <c r="W33" s="75"/>
      <c r="X33" s="93" t="s">
        <v>147</v>
      </c>
      <c r="Y33" s="94"/>
    </row>
    <row r="34" ht="25.5" customHeight="1">
      <c r="A34" s="40">
        <v>1.0</v>
      </c>
      <c r="B34" s="38" t="str">
        <f>'Diccionario Datos - PostgreSQL'!B37</f>
        <v>id_dato</v>
      </c>
      <c r="C34" s="95" t="str">
        <f>'Diccionario Datos - PostgreSQL'!C37</f>
        <v>identificador del dato</v>
      </c>
      <c r="D34" s="96"/>
      <c r="E34" s="96"/>
      <c r="F34" s="97"/>
      <c r="G34" s="98" t="s">
        <v>13</v>
      </c>
      <c r="H34" s="96"/>
      <c r="I34" s="96"/>
      <c r="J34" s="97"/>
      <c r="K34" s="95" t="str">
        <f>'Diccionario Datos - PostgreSQL'!K37</f>
        <v/>
      </c>
      <c r="L34" s="96"/>
      <c r="M34" s="96"/>
      <c r="N34" s="97"/>
      <c r="O34" s="98" t="str">
        <f>'Diccionario Datos - PostgreSQL'!O37</f>
        <v>no</v>
      </c>
      <c r="P34" s="96"/>
      <c r="Q34" s="97"/>
      <c r="R34" s="42" t="s">
        <v>152</v>
      </c>
      <c r="S34" s="12"/>
      <c r="T34" s="39"/>
      <c r="U34" s="12"/>
      <c r="V34" s="98" t="s">
        <v>187</v>
      </c>
      <c r="W34" s="97"/>
      <c r="X34" s="39" t="str">
        <f>'Diccionario Datos - PostgreSQL'!X37</f>
        <v>clave primaria</v>
      </c>
      <c r="Y34" s="36"/>
    </row>
    <row r="35" ht="24.0" customHeight="1">
      <c r="A35" s="99">
        <v>2.0</v>
      </c>
      <c r="B35" s="38" t="str">
        <f>'Diccionario Datos - PostgreSQL'!B38</f>
        <v>id_sensor</v>
      </c>
      <c r="C35" s="95" t="str">
        <f>'Diccionario Datos - PostgreSQL'!C38</f>
        <v>sensor asociado</v>
      </c>
      <c r="D35" s="96"/>
      <c r="E35" s="96"/>
      <c r="F35" s="97"/>
      <c r="G35" s="98" t="s">
        <v>165</v>
      </c>
      <c r="H35" s="96"/>
      <c r="I35" s="96"/>
      <c r="J35" s="97"/>
      <c r="K35" s="95" t="str">
        <f>'Diccionario Datos - PostgreSQL'!K38</f>
        <v/>
      </c>
      <c r="L35" s="96"/>
      <c r="M35" s="96"/>
      <c r="N35" s="97"/>
      <c r="O35" s="98" t="str">
        <f>'Diccionario Datos - PostgreSQL'!O38</f>
        <v>no</v>
      </c>
      <c r="P35" s="96"/>
      <c r="Q35" s="97"/>
      <c r="R35" s="42"/>
      <c r="S35" s="12"/>
      <c r="T35" s="42" t="s">
        <v>187</v>
      </c>
      <c r="U35" s="12"/>
      <c r="V35" s="98"/>
      <c r="W35" s="97"/>
      <c r="X35" s="39" t="str">
        <f>'Diccionario Datos - PostgreSQL'!X38</f>
        <v>Relacion con sensores</v>
      </c>
      <c r="Y35" s="36"/>
    </row>
    <row r="36" ht="21.75" customHeight="1">
      <c r="A36" s="99">
        <v>3.0</v>
      </c>
      <c r="B36" s="38" t="str">
        <f>'Diccionario Datos - PostgreSQL'!B39</f>
        <v>valor</v>
      </c>
      <c r="C36" s="95" t="str">
        <f>'Diccionario Datos - PostgreSQL'!C39</f>
        <v>valor medido</v>
      </c>
      <c r="D36" s="96"/>
      <c r="E36" s="96"/>
      <c r="F36" s="97"/>
      <c r="G36" s="98" t="s">
        <v>24</v>
      </c>
      <c r="H36" s="96"/>
      <c r="I36" s="96"/>
      <c r="J36" s="97"/>
      <c r="K36" s="95">
        <f>'Diccionario Datos - PostgreSQL'!K39</f>
        <v>10.2</v>
      </c>
      <c r="L36" s="96"/>
      <c r="M36" s="96"/>
      <c r="N36" s="97"/>
      <c r="O36" s="98" t="str">
        <f>'Diccionario Datos - PostgreSQL'!O39</f>
        <v>no</v>
      </c>
      <c r="P36" s="96"/>
      <c r="Q36" s="97"/>
      <c r="R36" s="42"/>
      <c r="S36" s="12"/>
      <c r="T36" s="39"/>
      <c r="U36" s="12"/>
      <c r="V36" s="39"/>
      <c r="W36" s="12"/>
      <c r="X36" s="39" t="str">
        <f>'Diccionario Datos - PostgreSQL'!X39</f>
        <v/>
      </c>
      <c r="Y36" s="36"/>
    </row>
    <row r="37" ht="21.75" customHeight="1">
      <c r="A37" s="99">
        <v>4.0</v>
      </c>
      <c r="B37" s="38" t="str">
        <f>'Diccionario Datos - PostgreSQL'!B40</f>
        <v>fecha</v>
      </c>
      <c r="C37" s="95" t="str">
        <f>'Diccionario Datos - PostgreSQL'!C40</f>
        <v>fecha del registro</v>
      </c>
      <c r="D37" s="96"/>
      <c r="E37" s="96"/>
      <c r="F37" s="97"/>
      <c r="G37" s="98" t="s">
        <v>46</v>
      </c>
      <c r="H37" s="96"/>
      <c r="I37" s="96"/>
      <c r="J37" s="97"/>
      <c r="K37" s="95" t="str">
        <f>'Diccionario Datos - PostgreSQL'!K40</f>
        <v/>
      </c>
      <c r="L37" s="96"/>
      <c r="M37" s="96"/>
      <c r="N37" s="97"/>
      <c r="O37" s="98" t="str">
        <f>'Diccionario Datos - PostgreSQL'!O40</f>
        <v>no</v>
      </c>
      <c r="P37" s="96"/>
      <c r="Q37" s="97"/>
      <c r="R37" s="42"/>
      <c r="S37" s="12"/>
      <c r="T37" s="39"/>
      <c r="U37" s="12"/>
      <c r="V37" s="39"/>
      <c r="W37" s="12"/>
      <c r="X37" s="39" t="str">
        <f>'Diccionario Datos - PostgreSQL'!X40</f>
        <v/>
      </c>
      <c r="Y37" s="36"/>
    </row>
    <row r="38" ht="15.75" customHeight="1"/>
    <row r="39" ht="32.25" customHeight="1">
      <c r="A39" s="64">
        <f>'Diccionario Datos - PostgreSQL'!A42</f>
        <v>7</v>
      </c>
      <c r="B39" s="69" t="s">
        <v>88</v>
      </c>
      <c r="C39" s="85" t="str">
        <f>'Diccionario Datos - PostgreSQL'!C40</f>
        <v>fecha del registro</v>
      </c>
      <c r="D39" s="86"/>
      <c r="E39" s="86"/>
      <c r="F39" s="87"/>
      <c r="G39" s="88" t="s">
        <v>89</v>
      </c>
      <c r="H39" s="28"/>
      <c r="I39" s="28"/>
      <c r="J39" s="29"/>
      <c r="K39" s="89" t="str">
        <f>'Diccionario Datos - PostgreSQL'!K42</f>
        <v>Productos apícolas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7"/>
      <c r="X39" s="90" t="s">
        <v>138</v>
      </c>
      <c r="Y39" s="33">
        <v>8.0</v>
      </c>
    </row>
    <row r="40" ht="25.5" customHeight="1">
      <c r="A40" s="72" t="s">
        <v>1</v>
      </c>
      <c r="B40" s="73" t="s">
        <v>139</v>
      </c>
      <c r="C40" s="74" t="s">
        <v>140</v>
      </c>
      <c r="D40" s="3"/>
      <c r="E40" s="3"/>
      <c r="F40" s="75"/>
      <c r="G40" s="76" t="s">
        <v>241</v>
      </c>
      <c r="H40" s="77"/>
      <c r="I40" s="77"/>
      <c r="J40" s="78"/>
      <c r="K40" s="74" t="s">
        <v>142</v>
      </c>
      <c r="L40" s="3"/>
      <c r="M40" s="3"/>
      <c r="N40" s="75"/>
      <c r="O40" s="74" t="s">
        <v>143</v>
      </c>
      <c r="P40" s="3"/>
      <c r="Q40" s="75"/>
      <c r="R40" s="91" t="s">
        <v>144</v>
      </c>
      <c r="S40" s="92"/>
      <c r="T40" s="91" t="s">
        <v>145</v>
      </c>
      <c r="U40" s="92"/>
      <c r="V40" s="74" t="s">
        <v>146</v>
      </c>
      <c r="W40" s="75"/>
      <c r="X40" s="93" t="s">
        <v>147</v>
      </c>
      <c r="Y40" s="94"/>
    </row>
    <row r="41" ht="26.25" customHeight="1">
      <c r="A41" s="40">
        <v>1.0</v>
      </c>
      <c r="B41" s="38" t="str">
        <f>'Diccionario Datos - PostgreSQL'!B44</f>
        <v>id_producto</v>
      </c>
      <c r="C41" s="95" t="str">
        <f>'Diccionario Datos - PostgreSQL'!C44</f>
        <v>Identificador del producto</v>
      </c>
      <c r="D41" s="96"/>
      <c r="E41" s="96"/>
      <c r="F41" s="97"/>
      <c r="G41" s="98" t="s">
        <v>13</v>
      </c>
      <c r="H41" s="96"/>
      <c r="I41" s="96"/>
      <c r="J41" s="97"/>
      <c r="K41" s="95" t="str">
        <f>'Diccionario Datos - PostgreSQL'!K44</f>
        <v/>
      </c>
      <c r="L41" s="96"/>
      <c r="M41" s="96"/>
      <c r="N41" s="97"/>
      <c r="O41" s="98" t="str">
        <f>'Diccionario Datos - PostgreSQL'!O44</f>
        <v>no</v>
      </c>
      <c r="P41" s="96"/>
      <c r="Q41" s="97"/>
      <c r="R41" s="42" t="s">
        <v>152</v>
      </c>
      <c r="S41" s="12"/>
      <c r="T41" s="39"/>
      <c r="U41" s="12"/>
      <c r="V41" s="98" t="s">
        <v>187</v>
      </c>
      <c r="W41" s="97"/>
      <c r="X41" s="39" t="str">
        <f>'Diccionario Datos - PostgreSQL'!X44</f>
        <v>clave primaria</v>
      </c>
      <c r="Y41" s="36"/>
    </row>
    <row r="42" ht="23.25" customHeight="1">
      <c r="A42" s="99">
        <v>2.0</v>
      </c>
      <c r="B42" s="38" t="str">
        <f>'Diccionario Datos - PostgreSQL'!B45</f>
        <v>nombre</v>
      </c>
      <c r="C42" s="95" t="str">
        <f>'Diccionario Datos - PostgreSQL'!C45</f>
        <v>nombre del producto</v>
      </c>
      <c r="D42" s="96"/>
      <c r="E42" s="96"/>
      <c r="F42" s="97"/>
      <c r="G42" s="98" t="s">
        <v>156</v>
      </c>
      <c r="H42" s="96"/>
      <c r="I42" s="96"/>
      <c r="J42" s="97"/>
      <c r="K42" s="95">
        <f>'Diccionario Datos - PostgreSQL'!K45</f>
        <v>100</v>
      </c>
      <c r="L42" s="96"/>
      <c r="M42" s="96"/>
      <c r="N42" s="97"/>
      <c r="O42" s="98" t="str">
        <f>'Diccionario Datos - PostgreSQL'!O45</f>
        <v>no</v>
      </c>
      <c r="P42" s="96"/>
      <c r="Q42" s="97"/>
      <c r="R42" s="42"/>
      <c r="S42" s="12"/>
      <c r="T42" s="39"/>
      <c r="U42" s="12"/>
      <c r="V42" s="98"/>
      <c r="W42" s="97"/>
      <c r="X42" s="39" t="str">
        <f>'Diccionario Datos - PostgreSQL'!X45</f>
        <v/>
      </c>
      <c r="Y42" s="36"/>
    </row>
    <row r="43" ht="22.5" customHeight="1">
      <c r="A43" s="99">
        <v>3.0</v>
      </c>
      <c r="B43" s="38" t="str">
        <f>'Diccionario Datos - PostgreSQL'!B46</f>
        <v>precio</v>
      </c>
      <c r="C43" s="95" t="str">
        <f>'Diccionario Datos - PostgreSQL'!C46</f>
        <v>precio</v>
      </c>
      <c r="D43" s="96"/>
      <c r="E43" s="96"/>
      <c r="F43" s="97"/>
      <c r="G43" s="98" t="s">
        <v>24</v>
      </c>
      <c r="H43" s="96"/>
      <c r="I43" s="96"/>
      <c r="J43" s="97"/>
      <c r="K43" s="95">
        <f>'Diccionario Datos - PostgreSQL'!K46</f>
        <v>10.2</v>
      </c>
      <c r="L43" s="96"/>
      <c r="M43" s="96"/>
      <c r="N43" s="97"/>
      <c r="O43" s="98" t="str">
        <f>'Diccionario Datos - PostgreSQL'!O46</f>
        <v>no</v>
      </c>
      <c r="P43" s="96"/>
      <c r="Q43" s="97"/>
      <c r="R43" s="42"/>
      <c r="S43" s="12"/>
      <c r="T43" s="39"/>
      <c r="U43" s="12"/>
      <c r="V43" s="39"/>
      <c r="W43" s="12"/>
      <c r="X43" s="39" t="str">
        <f>'Diccionario Datos - PostgreSQL'!X46</f>
        <v/>
      </c>
      <c r="Y43" s="36"/>
    </row>
    <row r="44" ht="15.75" customHeight="1"/>
    <row r="45" ht="24.75" customHeight="1">
      <c r="A45" s="64">
        <f>'Diccionario Datos - PostgreSQL'!A48</f>
        <v>8</v>
      </c>
      <c r="B45" s="69" t="s">
        <v>88</v>
      </c>
      <c r="C45" s="85" t="str">
        <f>'Diccionario Datos - PostgreSQL'!C48</f>
        <v>pedido</v>
      </c>
      <c r="D45" s="86"/>
      <c r="E45" s="86"/>
      <c r="F45" s="87"/>
      <c r="G45" s="88" t="s">
        <v>89</v>
      </c>
      <c r="H45" s="28"/>
      <c r="I45" s="28"/>
      <c r="J45" s="29"/>
      <c r="K45" s="89" t="str">
        <f>'Diccionario Datos - PostgreSQL'!K48</f>
        <v>Ordenes de compra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7"/>
      <c r="X45" s="90" t="s">
        <v>138</v>
      </c>
      <c r="Y45" s="33">
        <v>8.0</v>
      </c>
    </row>
    <row r="46" ht="15.75" customHeight="1">
      <c r="A46" s="72" t="s">
        <v>1</v>
      </c>
      <c r="B46" s="73" t="s">
        <v>139</v>
      </c>
      <c r="C46" s="74" t="s">
        <v>140</v>
      </c>
      <c r="D46" s="3"/>
      <c r="E46" s="3"/>
      <c r="F46" s="75"/>
      <c r="G46" s="76" t="s">
        <v>241</v>
      </c>
      <c r="H46" s="77"/>
      <c r="I46" s="77"/>
      <c r="J46" s="78"/>
      <c r="K46" s="74" t="s">
        <v>142</v>
      </c>
      <c r="L46" s="3"/>
      <c r="M46" s="3"/>
      <c r="N46" s="75"/>
      <c r="O46" s="74" t="s">
        <v>143</v>
      </c>
      <c r="P46" s="3"/>
      <c r="Q46" s="75"/>
      <c r="R46" s="91" t="s">
        <v>144</v>
      </c>
      <c r="S46" s="92"/>
      <c r="T46" s="91" t="s">
        <v>145</v>
      </c>
      <c r="U46" s="92"/>
      <c r="V46" s="74" t="s">
        <v>146</v>
      </c>
      <c r="W46" s="75"/>
      <c r="X46" s="93" t="s">
        <v>147</v>
      </c>
      <c r="Y46" s="94"/>
    </row>
    <row r="47" ht="32.25" customHeight="1">
      <c r="A47" s="40">
        <v>1.0</v>
      </c>
      <c r="B47" s="38" t="str">
        <f>'Diccionario Datos - PostgreSQL'!B50</f>
        <v>id_pedido</v>
      </c>
      <c r="C47" s="95" t="str">
        <f>'Diccionario Datos - PostgreSQL'!C50</f>
        <v>identificador del pedido</v>
      </c>
      <c r="D47" s="96"/>
      <c r="E47" s="96"/>
      <c r="F47" s="97"/>
      <c r="G47" s="98" t="s">
        <v>13</v>
      </c>
      <c r="H47" s="96"/>
      <c r="I47" s="96"/>
      <c r="J47" s="97"/>
      <c r="K47" s="95" t="str">
        <f>'Diccionario Datos - PostgreSQL'!K50</f>
        <v/>
      </c>
      <c r="L47" s="96"/>
      <c r="M47" s="96"/>
      <c r="N47" s="97"/>
      <c r="O47" s="98" t="str">
        <f>'Diccionario Datos - PostgreSQL'!O50</f>
        <v>no</v>
      </c>
      <c r="P47" s="96"/>
      <c r="Q47" s="97"/>
      <c r="R47" s="42" t="s">
        <v>152</v>
      </c>
      <c r="S47" s="12"/>
      <c r="T47" s="39"/>
      <c r="U47" s="12"/>
      <c r="V47" s="98" t="s">
        <v>187</v>
      </c>
      <c r="W47" s="97"/>
      <c r="X47" s="39" t="str">
        <f>'Diccionario Datos - PostgreSQL'!X50</f>
        <v>clave primaria</v>
      </c>
      <c r="Y47" s="36"/>
    </row>
    <row r="48" ht="24.0" customHeight="1">
      <c r="A48" s="99">
        <v>2.0</v>
      </c>
      <c r="B48" s="38" t="str">
        <f>'Diccionario Datos - PostgreSQL'!B51</f>
        <v>fecha</v>
      </c>
      <c r="C48" s="95" t="str">
        <f>'Diccionario Datos - PostgreSQL'!C51</f>
        <v>fecha del pedido</v>
      </c>
      <c r="D48" s="96"/>
      <c r="E48" s="96"/>
      <c r="F48" s="97"/>
      <c r="G48" s="98" t="s">
        <v>43</v>
      </c>
      <c r="H48" s="96"/>
      <c r="I48" s="96"/>
      <c r="J48" s="97"/>
      <c r="K48" s="95" t="str">
        <f>'Diccionario Datos - PostgreSQL'!K51</f>
        <v/>
      </c>
      <c r="L48" s="96"/>
      <c r="M48" s="96"/>
      <c r="N48" s="97"/>
      <c r="O48" s="98" t="str">
        <f>'Diccionario Datos - PostgreSQL'!O51</f>
        <v>no</v>
      </c>
      <c r="P48" s="96"/>
      <c r="Q48" s="97"/>
      <c r="R48" s="42"/>
      <c r="S48" s="12"/>
      <c r="T48" s="42"/>
      <c r="U48" s="12"/>
      <c r="V48" s="98"/>
      <c r="W48" s="97"/>
      <c r="X48" s="39" t="str">
        <f>'Diccionario Datos - PostgreSQL'!X51</f>
        <v/>
      </c>
      <c r="Y48" s="36"/>
    </row>
    <row r="49" ht="15.75" customHeight="1"/>
    <row r="50" ht="24.0" customHeight="1">
      <c r="A50" s="64">
        <f>'Diccionario Datos - PostgreSQL'!A53</f>
        <v>9</v>
      </c>
      <c r="B50" s="69" t="s">
        <v>88</v>
      </c>
      <c r="C50" s="85" t="str">
        <f>'Diccionario Datos - PostgreSQL'!C53</f>
        <v>detalle_pedido</v>
      </c>
      <c r="D50" s="86"/>
      <c r="E50" s="86"/>
      <c r="F50" s="87"/>
      <c r="G50" s="88" t="s">
        <v>89</v>
      </c>
      <c r="H50" s="28"/>
      <c r="I50" s="28"/>
      <c r="J50" s="29"/>
      <c r="K50" s="89" t="str">
        <f>'Diccionario Datos - PostgreSQL'!K53</f>
        <v>Detalle de productos por pedido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7"/>
      <c r="X50" s="90" t="s">
        <v>138</v>
      </c>
      <c r="Y50" s="33">
        <v>8.0</v>
      </c>
    </row>
    <row r="51" ht="29.25" customHeight="1">
      <c r="A51" s="72" t="s">
        <v>1</v>
      </c>
      <c r="B51" s="73" t="s">
        <v>139</v>
      </c>
      <c r="C51" s="74" t="s">
        <v>140</v>
      </c>
      <c r="D51" s="3"/>
      <c r="E51" s="3"/>
      <c r="F51" s="75"/>
      <c r="G51" s="76" t="s">
        <v>241</v>
      </c>
      <c r="H51" s="77"/>
      <c r="I51" s="77"/>
      <c r="J51" s="78"/>
      <c r="K51" s="74" t="s">
        <v>142</v>
      </c>
      <c r="L51" s="3"/>
      <c r="M51" s="3"/>
      <c r="N51" s="75"/>
      <c r="O51" s="74" t="s">
        <v>143</v>
      </c>
      <c r="P51" s="3"/>
      <c r="Q51" s="75"/>
      <c r="R51" s="91" t="s">
        <v>144</v>
      </c>
      <c r="S51" s="92"/>
      <c r="T51" s="91" t="s">
        <v>145</v>
      </c>
      <c r="U51" s="92"/>
      <c r="V51" s="74" t="s">
        <v>146</v>
      </c>
      <c r="W51" s="75"/>
      <c r="X51" s="93" t="s">
        <v>147</v>
      </c>
      <c r="Y51" s="94"/>
    </row>
    <row r="52" ht="29.25" customHeight="1">
      <c r="A52" s="40">
        <v>1.0</v>
      </c>
      <c r="B52" s="38" t="str">
        <f>'Diccionario Datos - PostgreSQL'!B55</f>
        <v>id_detalles</v>
      </c>
      <c r="C52" s="95" t="str">
        <f>'Diccionario Datos - PostgreSQL'!C55</f>
        <v>identificador de detalles</v>
      </c>
      <c r="D52" s="96"/>
      <c r="E52" s="96"/>
      <c r="F52" s="97"/>
      <c r="G52" s="98" t="s">
        <v>13</v>
      </c>
      <c r="H52" s="96"/>
      <c r="I52" s="96"/>
      <c r="J52" s="97"/>
      <c r="K52" s="95" t="str">
        <f>'Diccionario Datos - PostgreSQL'!K55</f>
        <v/>
      </c>
      <c r="L52" s="96"/>
      <c r="M52" s="96"/>
      <c r="N52" s="97"/>
      <c r="O52" s="98" t="str">
        <f>'Diccionario Datos - PostgreSQL'!O55</f>
        <v>no</v>
      </c>
      <c r="P52" s="96"/>
      <c r="Q52" s="97"/>
      <c r="R52" s="42" t="s">
        <v>152</v>
      </c>
      <c r="S52" s="12"/>
      <c r="T52" s="39"/>
      <c r="U52" s="12"/>
      <c r="V52" s="98" t="s">
        <v>187</v>
      </c>
      <c r="W52" s="97"/>
      <c r="X52" s="39" t="str">
        <f>'Diccionario Datos - PostgreSQL'!X55</f>
        <v>clave primaria</v>
      </c>
      <c r="Y52" s="36"/>
    </row>
    <row r="53" ht="24.75" customHeight="1">
      <c r="A53" s="99">
        <v>2.0</v>
      </c>
      <c r="B53" s="38" t="str">
        <f>'Diccionario Datos - PostgreSQL'!B56</f>
        <v>id_pedido</v>
      </c>
      <c r="C53" s="95" t="str">
        <f>'Diccionario Datos - PostgreSQL'!C56</f>
        <v>pedido asociado</v>
      </c>
      <c r="D53" s="96"/>
      <c r="E53" s="96"/>
      <c r="F53" s="97"/>
      <c r="G53" s="98" t="s">
        <v>165</v>
      </c>
      <c r="H53" s="96"/>
      <c r="I53" s="96"/>
      <c r="J53" s="97"/>
      <c r="K53" s="95" t="str">
        <f>'Diccionario Datos - PostgreSQL'!K56</f>
        <v/>
      </c>
      <c r="L53" s="96"/>
      <c r="M53" s="96"/>
      <c r="N53" s="97"/>
      <c r="O53" s="98" t="str">
        <f>'Diccionario Datos - PostgreSQL'!O56</f>
        <v>no</v>
      </c>
      <c r="P53" s="96"/>
      <c r="Q53" s="97"/>
      <c r="R53" s="42"/>
      <c r="S53" s="12"/>
      <c r="T53" s="42" t="s">
        <v>187</v>
      </c>
      <c r="U53" s="12"/>
      <c r="V53" s="98"/>
      <c r="W53" s="97"/>
      <c r="X53" s="39" t="str">
        <f>'Diccionario Datos - PostgreSQL'!X56</f>
        <v>Relacion con pedidos</v>
      </c>
      <c r="Y53" s="36"/>
    </row>
    <row r="54" ht="21.75" customHeight="1">
      <c r="A54" s="99">
        <v>3.0</v>
      </c>
      <c r="B54" s="38" t="str">
        <f>'Diccionario Datos - PostgreSQL'!B57</f>
        <v>id_producto</v>
      </c>
      <c r="C54" s="95" t="str">
        <f>'Diccionario Datos - PostgreSQL'!C57</f>
        <v>producto asociado</v>
      </c>
      <c r="D54" s="96"/>
      <c r="E54" s="96"/>
      <c r="F54" s="97"/>
      <c r="G54" s="98" t="s">
        <v>165</v>
      </c>
      <c r="H54" s="96"/>
      <c r="I54" s="96"/>
      <c r="J54" s="97"/>
      <c r="K54" s="95" t="str">
        <f>'Diccionario Datos - PostgreSQL'!K57</f>
        <v/>
      </c>
      <c r="L54" s="96"/>
      <c r="M54" s="96"/>
      <c r="N54" s="97"/>
      <c r="O54" s="98" t="str">
        <f>'Diccionario Datos - PostgreSQL'!O57</f>
        <v>no</v>
      </c>
      <c r="P54" s="96"/>
      <c r="Q54" s="97"/>
      <c r="R54" s="42"/>
      <c r="S54" s="12"/>
      <c r="T54" s="42" t="s">
        <v>152</v>
      </c>
      <c r="U54" s="12"/>
      <c r="V54" s="39"/>
      <c r="W54" s="12"/>
      <c r="X54" s="39" t="str">
        <f>'Diccionario Datos - PostgreSQL'!X57</f>
        <v>Relacion con productos</v>
      </c>
      <c r="Y54" s="36"/>
    </row>
    <row r="55" ht="24.75" customHeight="1">
      <c r="A55" s="99">
        <v>4.0</v>
      </c>
      <c r="B55" s="38" t="str">
        <f>'Diccionario Datos - PostgreSQL'!B58</f>
        <v>cantidad</v>
      </c>
      <c r="C55" s="95" t="str">
        <f>'Diccionario Datos - PostgreSQL'!C58</f>
        <v>cantidad</v>
      </c>
      <c r="D55" s="96"/>
      <c r="E55" s="96"/>
      <c r="F55" s="97"/>
      <c r="G55" s="98" t="s">
        <v>165</v>
      </c>
      <c r="H55" s="96"/>
      <c r="I55" s="96"/>
      <c r="J55" s="97"/>
      <c r="K55" s="95" t="str">
        <f>'Diccionario Datos - PostgreSQL'!K58</f>
        <v/>
      </c>
      <c r="L55" s="96"/>
      <c r="M55" s="96"/>
      <c r="N55" s="97"/>
      <c r="O55" s="98" t="str">
        <f>'Diccionario Datos - PostgreSQL'!O58</f>
        <v>no</v>
      </c>
      <c r="P55" s="96"/>
      <c r="Q55" s="97"/>
      <c r="R55" s="42"/>
      <c r="S55" s="12"/>
      <c r="T55" s="39"/>
      <c r="U55" s="12"/>
      <c r="V55" s="39"/>
      <c r="W55" s="12"/>
      <c r="X55" s="39" t="str">
        <f>'Diccionario Datos - PostgreSQL'!X58</f>
        <v/>
      </c>
      <c r="Y55" s="36"/>
    </row>
    <row r="56" ht="15.75" customHeight="1"/>
    <row r="57" ht="21.75" customHeight="1">
      <c r="A57" s="64">
        <f>'Diccionario Datos - PostgreSQL'!A60</f>
        <v>10</v>
      </c>
      <c r="B57" s="69" t="s">
        <v>88</v>
      </c>
      <c r="C57" s="85" t="str">
        <f>'Diccionario Datos - PostgreSQL'!C60</f>
        <v>certificacion</v>
      </c>
      <c r="D57" s="86"/>
      <c r="E57" s="86"/>
      <c r="F57" s="87"/>
      <c r="G57" s="88" t="s">
        <v>89</v>
      </c>
      <c r="H57" s="28"/>
      <c r="I57" s="28"/>
      <c r="J57" s="29"/>
      <c r="K57" s="89" t="str">
        <f>'Diccionario Datos - PostgreSQL'!K60</f>
        <v>Certificaciones apícolas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7"/>
      <c r="X57" s="90" t="s">
        <v>138</v>
      </c>
      <c r="Y57" s="33">
        <v>8.0</v>
      </c>
    </row>
    <row r="58" ht="18.75" customHeight="1">
      <c r="A58" s="72" t="s">
        <v>1</v>
      </c>
      <c r="B58" s="73" t="s">
        <v>139</v>
      </c>
      <c r="C58" s="74" t="s">
        <v>140</v>
      </c>
      <c r="D58" s="3"/>
      <c r="E58" s="3"/>
      <c r="F58" s="75"/>
      <c r="G58" s="76" t="s">
        <v>241</v>
      </c>
      <c r="H58" s="77"/>
      <c r="I58" s="77"/>
      <c r="J58" s="78"/>
      <c r="K58" s="74" t="s">
        <v>142</v>
      </c>
      <c r="L58" s="3"/>
      <c r="M58" s="3"/>
      <c r="N58" s="75"/>
      <c r="O58" s="74" t="s">
        <v>143</v>
      </c>
      <c r="P58" s="3"/>
      <c r="Q58" s="75"/>
      <c r="R58" s="91" t="s">
        <v>144</v>
      </c>
      <c r="S58" s="92"/>
      <c r="T58" s="91" t="s">
        <v>145</v>
      </c>
      <c r="U58" s="92"/>
      <c r="V58" s="74" t="s">
        <v>146</v>
      </c>
      <c r="W58" s="75"/>
      <c r="X58" s="93" t="s">
        <v>147</v>
      </c>
      <c r="Y58" s="94"/>
    </row>
    <row r="59" ht="29.25" customHeight="1">
      <c r="A59" s="40">
        <v>1.0</v>
      </c>
      <c r="B59" s="38" t="str">
        <f>'Diccionario Datos - PostgreSQL'!B62</f>
        <v>id_certificacion</v>
      </c>
      <c r="C59" s="95" t="str">
        <f>'Diccionario Datos - PostgreSQL'!C62</f>
        <v>Identificador</v>
      </c>
      <c r="D59" s="96"/>
      <c r="E59" s="96"/>
      <c r="F59" s="97"/>
      <c r="G59" s="98" t="s">
        <v>13</v>
      </c>
      <c r="H59" s="96"/>
      <c r="I59" s="96"/>
      <c r="J59" s="97"/>
      <c r="K59" s="95" t="str">
        <f>'Diccionario Datos - PostgreSQL'!K62</f>
        <v/>
      </c>
      <c r="L59" s="96"/>
      <c r="M59" s="96"/>
      <c r="N59" s="97"/>
      <c r="O59" s="98" t="str">
        <f>'Diccionario Datos - PostgreSQL'!O62</f>
        <v>no</v>
      </c>
      <c r="P59" s="96"/>
      <c r="Q59" s="97"/>
      <c r="R59" s="42" t="s">
        <v>152</v>
      </c>
      <c r="S59" s="12"/>
      <c r="T59" s="39"/>
      <c r="U59" s="12"/>
      <c r="V59" s="98" t="s">
        <v>187</v>
      </c>
      <c r="W59" s="97"/>
      <c r="X59" s="39" t="str">
        <f>'Diccionario Datos - PostgreSQL'!X62</f>
        <v>clave primaria</v>
      </c>
      <c r="Y59" s="36"/>
    </row>
    <row r="60" ht="24.75" customHeight="1">
      <c r="A60" s="99">
        <v>2.0</v>
      </c>
      <c r="B60" s="38" t="str">
        <f>'Diccionario Datos - PostgreSQL'!B63</f>
        <v>nombre</v>
      </c>
      <c r="C60" s="95" t="str">
        <f>'Diccionario Datos - PostgreSQL'!C63</f>
        <v>Nombre</v>
      </c>
      <c r="D60" s="96"/>
      <c r="E60" s="96"/>
      <c r="F60" s="97"/>
      <c r="G60" s="98" t="s">
        <v>156</v>
      </c>
      <c r="H60" s="96"/>
      <c r="I60" s="96"/>
      <c r="J60" s="97"/>
      <c r="K60" s="95">
        <f>'Diccionario Datos - PostgreSQL'!K63</f>
        <v>100</v>
      </c>
      <c r="L60" s="96"/>
      <c r="M60" s="96"/>
      <c r="N60" s="97"/>
      <c r="O60" s="98" t="str">
        <f>'Diccionario Datos - PostgreSQL'!O63</f>
        <v>no</v>
      </c>
      <c r="P60" s="96"/>
      <c r="Q60" s="97"/>
      <c r="R60" s="42"/>
      <c r="S60" s="12"/>
      <c r="T60" s="42"/>
      <c r="U60" s="12"/>
      <c r="V60" s="98"/>
      <c r="W60" s="97"/>
      <c r="X60" s="39" t="str">
        <f>'Diccionario Datos - PostgreSQL'!X63</f>
        <v/>
      </c>
      <c r="Y60" s="36"/>
    </row>
    <row r="61" ht="15.75" customHeight="1"/>
    <row r="62" ht="15.75" customHeight="1"/>
    <row r="63" ht="15.75" customHeight="1"/>
    <row r="64" ht="21.75" customHeight="1">
      <c r="A64" s="64">
        <f>'Diccionario Datos - PostgreSQL'!A67</f>
        <v>11</v>
      </c>
      <c r="B64" s="69" t="s">
        <v>88</v>
      </c>
      <c r="C64" s="85" t="str">
        <f>'Diccionario Datos - PostgreSQL'!C67</f>
        <v>usuario_apiario</v>
      </c>
      <c r="D64" s="86"/>
      <c r="E64" s="86"/>
      <c r="F64" s="87"/>
      <c r="G64" s="88" t="s">
        <v>89</v>
      </c>
      <c r="H64" s="28"/>
      <c r="I64" s="28"/>
      <c r="J64" s="29"/>
      <c r="K64" s="89" t="str">
        <f>'Diccionario Datos - PostgreSQL'!K67</f>
        <v>Relación entre usuarios y apiarios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7"/>
      <c r="X64" s="90" t="s">
        <v>138</v>
      </c>
      <c r="Y64" s="33">
        <v>8.0</v>
      </c>
    </row>
    <row r="65" ht="23.25" customHeight="1">
      <c r="A65" s="72" t="s">
        <v>1</v>
      </c>
      <c r="B65" s="73" t="s">
        <v>139</v>
      </c>
      <c r="C65" s="74" t="s">
        <v>140</v>
      </c>
      <c r="D65" s="3"/>
      <c r="E65" s="3"/>
      <c r="F65" s="75"/>
      <c r="G65" s="76" t="s">
        <v>241</v>
      </c>
      <c r="H65" s="77"/>
      <c r="I65" s="77"/>
      <c r="J65" s="78"/>
      <c r="K65" s="74" t="s">
        <v>142</v>
      </c>
      <c r="L65" s="3"/>
      <c r="M65" s="3"/>
      <c r="N65" s="75"/>
      <c r="O65" s="74" t="s">
        <v>143</v>
      </c>
      <c r="P65" s="3"/>
      <c r="Q65" s="75"/>
      <c r="R65" s="91" t="s">
        <v>144</v>
      </c>
      <c r="S65" s="92"/>
      <c r="T65" s="91" t="s">
        <v>145</v>
      </c>
      <c r="U65" s="92"/>
      <c r="V65" s="74" t="s">
        <v>146</v>
      </c>
      <c r="W65" s="75"/>
      <c r="X65" s="93" t="s">
        <v>147</v>
      </c>
      <c r="Y65" s="94"/>
    </row>
    <row r="66" ht="23.25" customHeight="1">
      <c r="A66" s="40">
        <v>1.0</v>
      </c>
      <c r="B66" s="38" t="str">
        <f>'Diccionario Datos - PostgreSQL'!B69</f>
        <v>id_usuario</v>
      </c>
      <c r="C66" s="95" t="str">
        <f>'Diccionario Datos - PostgreSQL'!C69</f>
        <v>usuario</v>
      </c>
      <c r="D66" s="96"/>
      <c r="E66" s="96"/>
      <c r="F66" s="97"/>
      <c r="G66" s="98" t="s">
        <v>165</v>
      </c>
      <c r="H66" s="96"/>
      <c r="I66" s="96"/>
      <c r="J66" s="97"/>
      <c r="K66" s="95" t="str">
        <f>'Diccionario Datos - PostgreSQL'!K69</f>
        <v/>
      </c>
      <c r="L66" s="96"/>
      <c r="M66" s="96"/>
      <c r="N66" s="97"/>
      <c r="O66" s="98" t="str">
        <f>'Diccionario Datos - PostgreSQL'!O69</f>
        <v>no</v>
      </c>
      <c r="P66" s="96"/>
      <c r="Q66" s="97"/>
      <c r="R66" s="42" t="s">
        <v>152</v>
      </c>
      <c r="S66" s="12"/>
      <c r="T66" s="42" t="s">
        <v>187</v>
      </c>
      <c r="U66" s="12"/>
      <c r="V66" s="98"/>
      <c r="W66" s="97"/>
      <c r="X66" s="39" t="str">
        <f>'Diccionario Datos - PostgreSQL'!X69</f>
        <v>relacion con usuarios</v>
      </c>
      <c r="Y66" s="36"/>
    </row>
    <row r="67" ht="32.25" customHeight="1">
      <c r="A67" s="99">
        <v>2.0</v>
      </c>
      <c r="B67" s="38" t="str">
        <f>'Diccionario Datos - PostgreSQL'!B70</f>
        <v>id_apiario</v>
      </c>
      <c r="C67" s="95" t="str">
        <f>'Diccionario Datos - PostgreSQL'!C70</f>
        <v>apiario</v>
      </c>
      <c r="D67" s="96"/>
      <c r="E67" s="96"/>
      <c r="F67" s="97"/>
      <c r="G67" s="98" t="s">
        <v>165</v>
      </c>
      <c r="H67" s="96"/>
      <c r="I67" s="96"/>
      <c r="J67" s="97"/>
      <c r="K67" s="95" t="str">
        <f>'Diccionario Datos - PostgreSQL'!K70</f>
        <v/>
      </c>
      <c r="L67" s="96"/>
      <c r="M67" s="96"/>
      <c r="N67" s="97"/>
      <c r="O67" s="98" t="str">
        <f>'Diccionario Datos - PostgreSQL'!O70</f>
        <v>no</v>
      </c>
      <c r="P67" s="96"/>
      <c r="Q67" s="97"/>
      <c r="R67" s="42" t="s">
        <v>187</v>
      </c>
      <c r="S67" s="12"/>
      <c r="T67" s="42" t="s">
        <v>187</v>
      </c>
      <c r="U67" s="12"/>
      <c r="V67" s="98"/>
      <c r="W67" s="97"/>
      <c r="X67" s="39" t="str">
        <f>'Diccionario Datos - PostgreSQL'!X70</f>
        <v>relacion con apiarios</v>
      </c>
      <c r="Y67" s="36"/>
    </row>
    <row r="68" ht="15.75" customHeight="1"/>
    <row r="69" ht="15.75" customHeight="1"/>
    <row r="70" ht="15.75" customHeight="1"/>
    <row r="71" ht="21.75" customHeight="1">
      <c r="A71" s="64">
        <f>'Diccionario Datos - PostgreSQL'!A74</f>
        <v>12</v>
      </c>
      <c r="B71" s="69" t="s">
        <v>88</v>
      </c>
      <c r="C71" s="85" t="str">
        <f>'Diccionario Datos - PostgreSQL'!C74</f>
        <v>apiario_certificacion</v>
      </c>
      <c r="D71" s="86"/>
      <c r="E71" s="86"/>
      <c r="F71" s="87"/>
      <c r="G71" s="88" t="s">
        <v>89</v>
      </c>
      <c r="H71" s="28"/>
      <c r="I71" s="28"/>
      <c r="J71" s="29"/>
      <c r="K71" s="89" t="str">
        <f>'Diccionario Datos - PostgreSQL'!K74</f>
        <v>Relación entre productos y lotes de producción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7"/>
      <c r="X71" s="90" t="s">
        <v>138</v>
      </c>
      <c r="Y71" s="33">
        <v>8.0</v>
      </c>
    </row>
    <row r="72" ht="24.0" customHeight="1">
      <c r="A72" s="72" t="s">
        <v>1</v>
      </c>
      <c r="B72" s="73" t="s">
        <v>139</v>
      </c>
      <c r="C72" s="74" t="s">
        <v>140</v>
      </c>
      <c r="D72" s="3"/>
      <c r="E72" s="3"/>
      <c r="F72" s="75"/>
      <c r="G72" s="76" t="s">
        <v>241</v>
      </c>
      <c r="H72" s="77"/>
      <c r="I72" s="77"/>
      <c r="J72" s="78"/>
      <c r="K72" s="74" t="s">
        <v>142</v>
      </c>
      <c r="L72" s="3"/>
      <c r="M72" s="3"/>
      <c r="N72" s="75"/>
      <c r="O72" s="74" t="s">
        <v>143</v>
      </c>
      <c r="P72" s="3"/>
      <c r="Q72" s="75"/>
      <c r="R72" s="91" t="s">
        <v>144</v>
      </c>
      <c r="S72" s="92"/>
      <c r="T72" s="91" t="s">
        <v>145</v>
      </c>
      <c r="U72" s="92"/>
      <c r="V72" s="74" t="s">
        <v>146</v>
      </c>
      <c r="W72" s="75"/>
      <c r="X72" s="93" t="s">
        <v>147</v>
      </c>
      <c r="Y72" s="94"/>
    </row>
    <row r="73" ht="28.5" customHeight="1">
      <c r="A73" s="40">
        <v>1.0</v>
      </c>
      <c r="B73" s="38" t="str">
        <f>'Diccionario Datos - PostgreSQL'!B76</f>
        <v>id_apiario</v>
      </c>
      <c r="C73" s="95" t="str">
        <f>'Diccionario Datos - PostgreSQL'!C76</f>
        <v>apiario</v>
      </c>
      <c r="D73" s="96"/>
      <c r="E73" s="96"/>
      <c r="F73" s="97"/>
      <c r="G73" s="98" t="s">
        <v>165</v>
      </c>
      <c r="H73" s="96"/>
      <c r="I73" s="96"/>
      <c r="J73" s="97"/>
      <c r="K73" s="95" t="str">
        <f>'Diccionario Datos - PostgreSQL'!K76</f>
        <v/>
      </c>
      <c r="L73" s="96"/>
      <c r="M73" s="96"/>
      <c r="N73" s="97"/>
      <c r="O73" s="98" t="str">
        <f>'Diccionario Datos - PostgreSQL'!O76</f>
        <v>no</v>
      </c>
      <c r="P73" s="96"/>
      <c r="Q73" s="97"/>
      <c r="R73" s="42" t="s">
        <v>152</v>
      </c>
      <c r="S73" s="12"/>
      <c r="T73" s="42" t="s">
        <v>187</v>
      </c>
      <c r="U73" s="12"/>
      <c r="V73" s="98" t="s">
        <v>187</v>
      </c>
      <c r="W73" s="97"/>
      <c r="X73" s="39" t="str">
        <f>'Diccionario Datos - PostgreSQL'!X76</f>
        <v>relacion con apiarios</v>
      </c>
      <c r="Y73" s="36"/>
    </row>
    <row r="74" ht="27.75" customHeight="1">
      <c r="A74" s="99">
        <v>2.0</v>
      </c>
      <c r="B74" s="38" t="str">
        <f>'Diccionario Datos - PostgreSQL'!B77</f>
        <v>id_certificacion</v>
      </c>
      <c r="C74" s="95" t="str">
        <f>'Diccionario Datos - PostgreSQL'!C77</f>
        <v>certificacion</v>
      </c>
      <c r="D74" s="96"/>
      <c r="E74" s="96"/>
      <c r="F74" s="97"/>
      <c r="G74" s="98" t="s">
        <v>165</v>
      </c>
      <c r="H74" s="96"/>
      <c r="I74" s="96"/>
      <c r="J74" s="97"/>
      <c r="K74" s="95" t="str">
        <f>'Diccionario Datos - PostgreSQL'!K77</f>
        <v/>
      </c>
      <c r="L74" s="96"/>
      <c r="M74" s="96"/>
      <c r="N74" s="97"/>
      <c r="O74" s="98" t="str">
        <f>'Diccionario Datos - PostgreSQL'!O77</f>
        <v>no</v>
      </c>
      <c r="P74" s="96"/>
      <c r="Q74" s="97"/>
      <c r="R74" s="42" t="s">
        <v>187</v>
      </c>
      <c r="S74" s="12"/>
      <c r="T74" s="42" t="s">
        <v>187</v>
      </c>
      <c r="U74" s="12"/>
      <c r="V74" s="98"/>
      <c r="W74" s="97"/>
      <c r="X74" s="39" t="str">
        <f>'Diccionario Datos - PostgreSQL'!X77</f>
        <v>relacion con certificaciones</v>
      </c>
      <c r="Y74" s="36"/>
    </row>
    <row r="75" ht="18.75" customHeight="1">
      <c r="A75" s="99">
        <v>3.0</v>
      </c>
      <c r="B75" s="38" t="str">
        <f>'Diccionario Datos - PostgreSQL'!B78</f>
        <v/>
      </c>
      <c r="C75" s="95" t="str">
        <f>'Diccionario Datos - PostgreSQL'!C78</f>
        <v/>
      </c>
      <c r="D75" s="96"/>
      <c r="E75" s="96"/>
      <c r="F75" s="97"/>
      <c r="G75" s="98"/>
      <c r="H75" s="96"/>
      <c r="I75" s="96"/>
      <c r="J75" s="97"/>
      <c r="K75" s="95" t="str">
        <f>'Diccionario Datos - PostgreSQL'!K78</f>
        <v/>
      </c>
      <c r="L75" s="96"/>
      <c r="M75" s="96"/>
      <c r="N75" s="97"/>
      <c r="O75" s="98" t="str">
        <f>'Diccionario Datos - PostgreSQL'!O78</f>
        <v/>
      </c>
      <c r="P75" s="96"/>
      <c r="Q75" s="97"/>
      <c r="R75" s="42"/>
      <c r="S75" s="12"/>
      <c r="T75" s="39"/>
      <c r="U75" s="12"/>
      <c r="V75" s="39"/>
      <c r="W75" s="12"/>
      <c r="X75" s="39" t="str">
        <f>'Diccionario Datos - PostgreSQL'!X78</f>
        <v/>
      </c>
      <c r="Y75" s="36"/>
    </row>
    <row r="76" ht="23.25" customHeight="1">
      <c r="A76" s="99">
        <v>4.0</v>
      </c>
      <c r="B76" s="38" t="str">
        <f>'Diccionario Datos - PostgreSQL'!B79</f>
        <v/>
      </c>
      <c r="C76" s="95" t="str">
        <f>'Diccionario Datos - PostgreSQL'!C79</f>
        <v/>
      </c>
      <c r="D76" s="96"/>
      <c r="E76" s="96"/>
      <c r="F76" s="97"/>
      <c r="G76" s="98"/>
      <c r="H76" s="96"/>
      <c r="I76" s="96"/>
      <c r="J76" s="97"/>
      <c r="K76" s="95" t="str">
        <f>'Diccionario Datos - PostgreSQL'!K79</f>
        <v/>
      </c>
      <c r="L76" s="96"/>
      <c r="M76" s="96"/>
      <c r="N76" s="97"/>
      <c r="O76" s="98" t="str">
        <f>'Diccionario Datos - PostgreSQL'!O79</f>
        <v/>
      </c>
      <c r="P76" s="96"/>
      <c r="Q76" s="97"/>
      <c r="R76" s="42"/>
      <c r="S76" s="12"/>
      <c r="T76" s="39"/>
      <c r="U76" s="12"/>
      <c r="V76" s="39"/>
      <c r="W76" s="12"/>
      <c r="X76" s="39" t="str">
        <f>'Diccionario Datos - PostgreSQL'!X79</f>
        <v/>
      </c>
      <c r="Y76" s="36"/>
    </row>
    <row r="77" ht="15.75" customHeight="1"/>
    <row r="78" ht="24.75" customHeight="1">
      <c r="A78" s="64">
        <f>'Diccionario Datos - PostgreSQL'!A81</f>
        <v>13</v>
      </c>
      <c r="B78" s="69" t="s">
        <v>88</v>
      </c>
      <c r="C78" s="85" t="str">
        <f>'Diccionario Datos - PostgreSQL'!C81</f>
        <v>producto_lote</v>
      </c>
      <c r="D78" s="86"/>
      <c r="E78" s="86"/>
      <c r="F78" s="87"/>
      <c r="G78" s="88" t="s">
        <v>89</v>
      </c>
      <c r="H78" s="28"/>
      <c r="I78" s="28"/>
      <c r="J78" s="29"/>
      <c r="K78" s="89" t="str">
        <f>'Diccionario Datos - PostgreSQL'!K81</f>
        <v>Relación entre productos y lotes de producción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7"/>
      <c r="X78" s="90" t="s">
        <v>138</v>
      </c>
      <c r="Y78" s="33">
        <v>8.0</v>
      </c>
    </row>
    <row r="79" ht="26.25" customHeight="1">
      <c r="A79" s="72" t="s">
        <v>1</v>
      </c>
      <c r="B79" s="73" t="s">
        <v>139</v>
      </c>
      <c r="C79" s="74" t="s">
        <v>140</v>
      </c>
      <c r="D79" s="3"/>
      <c r="E79" s="3"/>
      <c r="F79" s="75"/>
      <c r="G79" s="76" t="s">
        <v>241</v>
      </c>
      <c r="H79" s="77"/>
      <c r="I79" s="77"/>
      <c r="J79" s="78"/>
      <c r="K79" s="74" t="s">
        <v>142</v>
      </c>
      <c r="L79" s="3"/>
      <c r="M79" s="3"/>
      <c r="N79" s="75"/>
      <c r="O79" s="74" t="s">
        <v>143</v>
      </c>
      <c r="P79" s="3"/>
      <c r="Q79" s="75"/>
      <c r="R79" s="91" t="s">
        <v>144</v>
      </c>
      <c r="S79" s="92"/>
      <c r="T79" s="91" t="s">
        <v>145</v>
      </c>
      <c r="U79" s="92"/>
      <c r="V79" s="74" t="s">
        <v>146</v>
      </c>
      <c r="W79" s="75"/>
      <c r="X79" s="93" t="s">
        <v>147</v>
      </c>
      <c r="Y79" s="94"/>
    </row>
    <row r="80" ht="24.0" customHeight="1">
      <c r="A80" s="40">
        <v>1.0</v>
      </c>
      <c r="B80" s="38" t="str">
        <f>'Diccionario Datos - PostgreSQL'!B83</f>
        <v>id_producto</v>
      </c>
      <c r="C80" s="95" t="str">
        <f>'Diccionario Datos - PostgreSQL'!C83</f>
        <v>producto</v>
      </c>
      <c r="D80" s="96"/>
      <c r="E80" s="96"/>
      <c r="F80" s="97"/>
      <c r="G80" s="98" t="s">
        <v>165</v>
      </c>
      <c r="H80" s="96"/>
      <c r="I80" s="96"/>
      <c r="J80" s="97"/>
      <c r="K80" s="95" t="str">
        <f>'Diccionario Datos - PostgreSQL'!K83</f>
        <v/>
      </c>
      <c r="L80" s="96"/>
      <c r="M80" s="96"/>
      <c r="N80" s="97"/>
      <c r="O80" s="98" t="str">
        <f>'Diccionario Datos - PostgreSQL'!O83</f>
        <v>no</v>
      </c>
      <c r="P80" s="96"/>
      <c r="Q80" s="97"/>
      <c r="R80" s="42" t="s">
        <v>152</v>
      </c>
      <c r="S80" s="12"/>
      <c r="T80" s="42" t="s">
        <v>187</v>
      </c>
      <c r="U80" s="12"/>
      <c r="V80" s="98"/>
      <c r="W80" s="97"/>
      <c r="X80" s="39" t="str">
        <f>'Diccionario Datos - PostgreSQL'!X83</f>
        <v>relacion con productos</v>
      </c>
      <c r="Y80" s="36"/>
    </row>
    <row r="81" ht="26.25" customHeight="1">
      <c r="A81" s="99">
        <v>2.0</v>
      </c>
      <c r="B81" s="38" t="str">
        <f>'Diccionario Datos - PostgreSQL'!B84</f>
        <v>id_lote</v>
      </c>
      <c r="C81" s="95" t="str">
        <f>'Diccionario Datos - PostgreSQL'!C84</f>
        <v>lote</v>
      </c>
      <c r="D81" s="96"/>
      <c r="E81" s="96"/>
      <c r="F81" s="97"/>
      <c r="G81" s="98" t="s">
        <v>165</v>
      </c>
      <c r="H81" s="96"/>
      <c r="I81" s="96"/>
      <c r="J81" s="97"/>
      <c r="K81" s="95" t="str">
        <f>'Diccionario Datos - PostgreSQL'!K84</f>
        <v/>
      </c>
      <c r="L81" s="96"/>
      <c r="M81" s="96"/>
      <c r="N81" s="97"/>
      <c r="O81" s="98" t="str">
        <f>'Diccionario Datos - PostgreSQL'!O84</f>
        <v>no</v>
      </c>
      <c r="P81" s="96"/>
      <c r="Q81" s="97"/>
      <c r="R81" s="42" t="s">
        <v>187</v>
      </c>
      <c r="S81" s="12"/>
      <c r="T81" s="42" t="s">
        <v>187</v>
      </c>
      <c r="U81" s="12"/>
      <c r="V81" s="98"/>
      <c r="W81" s="97"/>
      <c r="X81" s="39" t="str">
        <f>'Diccionario Datos - PostgreSQL'!X84</f>
        <v>relacion con lotes_produccion</v>
      </c>
      <c r="Y81" s="36"/>
    </row>
    <row r="82" ht="28.5" customHeight="1">
      <c r="A82" s="99">
        <v>3.0</v>
      </c>
      <c r="B82" s="38" t="str">
        <f>'Diccionario Datos - PostgreSQL'!B85</f>
        <v/>
      </c>
      <c r="C82" s="95" t="str">
        <f>'Diccionario Datos - PostgreSQL'!C85</f>
        <v/>
      </c>
      <c r="D82" s="96"/>
      <c r="E82" s="96"/>
      <c r="F82" s="97"/>
      <c r="G82" s="98"/>
      <c r="H82" s="96"/>
      <c r="I82" s="96"/>
      <c r="J82" s="97"/>
      <c r="K82" s="95" t="str">
        <f>'Diccionario Datos - PostgreSQL'!K85</f>
        <v/>
      </c>
      <c r="L82" s="96"/>
      <c r="M82" s="96"/>
      <c r="N82" s="97"/>
      <c r="O82" s="98" t="str">
        <f>'Diccionario Datos - PostgreSQL'!O85</f>
        <v/>
      </c>
      <c r="P82" s="96"/>
      <c r="Q82" s="97"/>
      <c r="R82" s="42"/>
      <c r="S82" s="12"/>
      <c r="T82" s="39"/>
      <c r="U82" s="12"/>
      <c r="V82" s="39"/>
      <c r="W82" s="12"/>
      <c r="X82" s="39" t="str">
        <f>'Diccionario Datos - PostgreSQL'!X85</f>
        <v/>
      </c>
      <c r="Y82" s="36"/>
    </row>
    <row r="83" ht="23.25" customHeight="1">
      <c r="A83" s="99">
        <v>4.0</v>
      </c>
      <c r="B83" s="38" t="str">
        <f>'Diccionario Datos - PostgreSQL'!B86</f>
        <v/>
      </c>
      <c r="C83" s="95" t="str">
        <f>'Diccionario Datos - PostgreSQL'!C86</f>
        <v/>
      </c>
      <c r="D83" s="96"/>
      <c r="E83" s="96"/>
      <c r="F83" s="97"/>
      <c r="G83" s="98"/>
      <c r="H83" s="96"/>
      <c r="I83" s="96"/>
      <c r="J83" s="97"/>
      <c r="K83" s="95" t="str">
        <f>'Diccionario Datos - PostgreSQL'!K86</f>
        <v/>
      </c>
      <c r="L83" s="96"/>
      <c r="M83" s="96"/>
      <c r="N83" s="97"/>
      <c r="O83" s="98" t="str">
        <f>'Diccionario Datos - PostgreSQL'!O86</f>
        <v/>
      </c>
      <c r="P83" s="96"/>
      <c r="Q83" s="97"/>
      <c r="R83" s="42"/>
      <c r="S83" s="12"/>
      <c r="T83" s="39"/>
      <c r="U83" s="12"/>
      <c r="V83" s="39"/>
      <c r="W83" s="12"/>
      <c r="X83" s="39" t="str">
        <f>'Diccionario Datos - PostgreSQL'!X86</f>
        <v/>
      </c>
      <c r="Y83" s="36"/>
    </row>
    <row r="84" ht="15.75" customHeight="1"/>
    <row r="85" ht="27.0" customHeight="1">
      <c r="A85" s="64">
        <f>'Diccionario Datos - PostgreSQL'!A88</f>
        <v>14</v>
      </c>
      <c r="B85" s="69" t="s">
        <v>88</v>
      </c>
      <c r="C85" s="85" t="str">
        <f>'Diccionario Datos - PostgreSQL'!C88</f>
        <v>entidades_regulatorias</v>
      </c>
      <c r="D85" s="86"/>
      <c r="E85" s="86"/>
      <c r="F85" s="87"/>
      <c r="G85" s="88" t="s">
        <v>89</v>
      </c>
      <c r="H85" s="28"/>
      <c r="I85" s="28"/>
      <c r="J85" s="29"/>
      <c r="K85" s="89" t="str">
        <f>'Diccionario Datos - PostgreSQL'!K88</f>
        <v>Entidades de control y supervisión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7"/>
      <c r="X85" s="90" t="s">
        <v>138</v>
      </c>
      <c r="Y85" s="33">
        <v>8.0</v>
      </c>
    </row>
    <row r="86" ht="20.25" customHeight="1">
      <c r="A86" s="72" t="s">
        <v>1</v>
      </c>
      <c r="B86" s="73" t="s">
        <v>139</v>
      </c>
      <c r="C86" s="74" t="s">
        <v>140</v>
      </c>
      <c r="D86" s="3"/>
      <c r="E86" s="3"/>
      <c r="F86" s="75"/>
      <c r="G86" s="76" t="s">
        <v>241</v>
      </c>
      <c r="H86" s="77"/>
      <c r="I86" s="77"/>
      <c r="J86" s="78"/>
      <c r="K86" s="74" t="s">
        <v>142</v>
      </c>
      <c r="L86" s="3"/>
      <c r="M86" s="3"/>
      <c r="N86" s="75"/>
      <c r="O86" s="74" t="s">
        <v>143</v>
      </c>
      <c r="P86" s="3"/>
      <c r="Q86" s="75"/>
      <c r="R86" s="91" t="s">
        <v>144</v>
      </c>
      <c r="S86" s="92"/>
      <c r="T86" s="91" t="s">
        <v>145</v>
      </c>
      <c r="U86" s="92"/>
      <c r="V86" s="74" t="s">
        <v>146</v>
      </c>
      <c r="W86" s="75"/>
      <c r="X86" s="93" t="s">
        <v>147</v>
      </c>
      <c r="Y86" s="94"/>
    </row>
    <row r="87" ht="24.0" customHeight="1">
      <c r="A87" s="40">
        <v>1.0</v>
      </c>
      <c r="B87" s="38" t="str">
        <f>'Diccionario Datos - PostgreSQL'!B90</f>
        <v>id_entidad</v>
      </c>
      <c r="C87" s="95" t="str">
        <f>'Diccionario Datos - PostgreSQL'!C90</f>
        <v>identificacion de la entidad</v>
      </c>
      <c r="D87" s="96"/>
      <c r="E87" s="96"/>
      <c r="F87" s="97"/>
      <c r="G87" s="98" t="s">
        <v>13</v>
      </c>
      <c r="H87" s="96"/>
      <c r="I87" s="96"/>
      <c r="J87" s="97"/>
      <c r="K87" s="95" t="str">
        <f>'Diccionario Datos - PostgreSQL'!K90</f>
        <v/>
      </c>
      <c r="L87" s="96"/>
      <c r="M87" s="96"/>
      <c r="N87" s="97"/>
      <c r="O87" s="98" t="str">
        <f>'Diccionario Datos - PostgreSQL'!O90</f>
        <v>no</v>
      </c>
      <c r="P87" s="96"/>
      <c r="Q87" s="97"/>
      <c r="R87" s="42" t="s">
        <v>152</v>
      </c>
      <c r="S87" s="12"/>
      <c r="T87" s="39"/>
      <c r="U87" s="12"/>
      <c r="V87" s="98" t="s">
        <v>187</v>
      </c>
      <c r="W87" s="97"/>
      <c r="X87" s="39" t="str">
        <f>'Diccionario Datos - PostgreSQL'!X90</f>
        <v>clave primaria</v>
      </c>
      <c r="Y87" s="36"/>
    </row>
    <row r="88" ht="21.0" customHeight="1">
      <c r="A88" s="99">
        <v>2.0</v>
      </c>
      <c r="B88" s="38" t="str">
        <f>'Diccionario Datos - PostgreSQL'!B91</f>
        <v>nombre</v>
      </c>
      <c r="C88" s="95" t="str">
        <f>'Diccionario Datos - PostgreSQL'!C91</f>
        <v>nombre de la entidad</v>
      </c>
      <c r="D88" s="96"/>
      <c r="E88" s="96"/>
      <c r="F88" s="97"/>
      <c r="G88" s="98" t="s">
        <v>156</v>
      </c>
      <c r="H88" s="96"/>
      <c r="I88" s="96"/>
      <c r="J88" s="97"/>
      <c r="K88" s="95">
        <f>'Diccionario Datos - PostgreSQL'!K91</f>
        <v>100</v>
      </c>
      <c r="L88" s="96"/>
      <c r="M88" s="96"/>
      <c r="N88" s="97"/>
      <c r="O88" s="98" t="str">
        <f>'Diccionario Datos - PostgreSQL'!O91</f>
        <v>no</v>
      </c>
      <c r="P88" s="96"/>
      <c r="Q88" s="97"/>
      <c r="R88" s="42"/>
      <c r="S88" s="12"/>
      <c r="T88" s="42"/>
      <c r="U88" s="12"/>
      <c r="V88" s="98"/>
      <c r="W88" s="97"/>
      <c r="X88" s="39" t="str">
        <f>'Diccionario Datos - PostgreSQL'!X91</f>
        <v/>
      </c>
      <c r="Y88" s="36"/>
    </row>
    <row r="89" ht="29.25" customHeight="1">
      <c r="A89" s="99">
        <v>3.0</v>
      </c>
      <c r="B89" s="38" t="str">
        <f>'Diccionario Datos - PostgreSQL'!B92</f>
        <v/>
      </c>
      <c r="C89" s="95" t="str">
        <f>'Diccionario Datos - PostgreSQL'!C92</f>
        <v/>
      </c>
      <c r="D89" s="96"/>
      <c r="E89" s="96"/>
      <c r="F89" s="97"/>
      <c r="G89" s="98"/>
      <c r="H89" s="96"/>
      <c r="I89" s="96"/>
      <c r="J89" s="97"/>
      <c r="K89" s="95" t="str">
        <f>'Diccionario Datos - PostgreSQL'!K92</f>
        <v/>
      </c>
      <c r="L89" s="96"/>
      <c r="M89" s="96"/>
      <c r="N89" s="97"/>
      <c r="O89" s="98" t="str">
        <f>'Diccionario Datos - PostgreSQL'!O92</f>
        <v/>
      </c>
      <c r="P89" s="96"/>
      <c r="Q89" s="97"/>
      <c r="R89" s="42"/>
      <c r="S89" s="12"/>
      <c r="T89" s="39"/>
      <c r="U89" s="12"/>
      <c r="V89" s="39"/>
      <c r="W89" s="12"/>
      <c r="X89" s="39" t="str">
        <f>'Diccionario Datos - PostgreSQL'!X92</f>
        <v/>
      </c>
      <c r="Y89" s="36"/>
    </row>
    <row r="90" ht="22.5" customHeight="1">
      <c r="A90" s="99">
        <v>4.0</v>
      </c>
      <c r="B90" s="38" t="str">
        <f>'Diccionario Datos - PostgreSQL'!B93</f>
        <v/>
      </c>
      <c r="C90" s="95" t="str">
        <f>'Diccionario Datos - PostgreSQL'!C93</f>
        <v/>
      </c>
      <c r="D90" s="96"/>
      <c r="E90" s="96"/>
      <c r="F90" s="97"/>
      <c r="G90" s="98"/>
      <c r="H90" s="96"/>
      <c r="I90" s="96"/>
      <c r="J90" s="97"/>
      <c r="K90" s="95" t="str">
        <f>'Diccionario Datos - PostgreSQL'!K93</f>
        <v/>
      </c>
      <c r="L90" s="96"/>
      <c r="M90" s="96"/>
      <c r="N90" s="97"/>
      <c r="O90" s="98" t="str">
        <f>'Diccionario Datos - PostgreSQL'!O93</f>
        <v/>
      </c>
      <c r="P90" s="96"/>
      <c r="Q90" s="97"/>
      <c r="R90" s="42"/>
      <c r="S90" s="12"/>
      <c r="T90" s="39"/>
      <c r="U90" s="12"/>
      <c r="V90" s="39"/>
      <c r="W90" s="12"/>
      <c r="X90" s="39" t="str">
        <f>'Diccionario Datos - PostgreSQL'!X93</f>
        <v/>
      </c>
      <c r="Y90" s="36"/>
    </row>
    <row r="91" ht="15.75" customHeight="1"/>
    <row r="92" ht="20.25" customHeight="1">
      <c r="A92" s="64">
        <f>'Diccionario Datos - PostgreSQL'!A95</f>
        <v>15</v>
      </c>
      <c r="B92" s="69" t="s">
        <v>88</v>
      </c>
      <c r="C92" s="85" t="str">
        <f>'Diccionario Datos - PostgreSQL'!C95</f>
        <v>inspecciones</v>
      </c>
      <c r="D92" s="86"/>
      <c r="E92" s="86"/>
      <c r="F92" s="87"/>
      <c r="G92" s="88" t="s">
        <v>89</v>
      </c>
      <c r="H92" s="28"/>
      <c r="I92" s="28"/>
      <c r="J92" s="29"/>
      <c r="K92" s="89" t="str">
        <f>'Diccionario Datos - PostgreSQL'!K95</f>
        <v>Registro de inspecciones realizadas a apiarios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7"/>
      <c r="X92" s="90" t="s">
        <v>138</v>
      </c>
      <c r="Y92" s="33">
        <v>8.0</v>
      </c>
    </row>
    <row r="93" ht="28.5" customHeight="1">
      <c r="A93" s="72" t="s">
        <v>1</v>
      </c>
      <c r="B93" s="73" t="s">
        <v>139</v>
      </c>
      <c r="C93" s="74" t="s">
        <v>140</v>
      </c>
      <c r="D93" s="3"/>
      <c r="E93" s="3"/>
      <c r="F93" s="75"/>
      <c r="G93" s="76" t="s">
        <v>241</v>
      </c>
      <c r="H93" s="77"/>
      <c r="I93" s="77"/>
      <c r="J93" s="78"/>
      <c r="K93" s="74" t="s">
        <v>142</v>
      </c>
      <c r="L93" s="3"/>
      <c r="M93" s="3"/>
      <c r="N93" s="75"/>
      <c r="O93" s="74" t="s">
        <v>143</v>
      </c>
      <c r="P93" s="3"/>
      <c r="Q93" s="75"/>
      <c r="R93" s="91" t="s">
        <v>144</v>
      </c>
      <c r="S93" s="92"/>
      <c r="T93" s="91" t="s">
        <v>145</v>
      </c>
      <c r="U93" s="92"/>
      <c r="V93" s="74" t="s">
        <v>146</v>
      </c>
      <c r="W93" s="75"/>
      <c r="X93" s="93" t="s">
        <v>147</v>
      </c>
      <c r="Y93" s="94"/>
    </row>
    <row r="94" ht="24.0" customHeight="1">
      <c r="A94" s="40">
        <v>1.0</v>
      </c>
      <c r="B94" s="38" t="str">
        <f>'Diccionario Datos - PostgreSQL'!B97</f>
        <v>id_inspeccion</v>
      </c>
      <c r="C94" s="95" t="str">
        <f>'Diccionario Datos - PostgreSQL'!C97</f>
        <v>identificacion de la inspeccion</v>
      </c>
      <c r="D94" s="96"/>
      <c r="E94" s="96"/>
      <c r="F94" s="97"/>
      <c r="G94" s="98" t="s">
        <v>13</v>
      </c>
      <c r="H94" s="96"/>
      <c r="I94" s="96"/>
      <c r="J94" s="97"/>
      <c r="K94" s="95" t="str">
        <f>'Diccionario Datos - PostgreSQL'!K97</f>
        <v/>
      </c>
      <c r="L94" s="96"/>
      <c r="M94" s="96"/>
      <c r="N94" s="97"/>
      <c r="O94" s="98" t="str">
        <f>'Diccionario Datos - PostgreSQL'!O97</f>
        <v>no</v>
      </c>
      <c r="P94" s="96"/>
      <c r="Q94" s="97"/>
      <c r="R94" s="42" t="s">
        <v>152</v>
      </c>
      <c r="S94" s="12"/>
      <c r="T94" s="39"/>
      <c r="U94" s="12"/>
      <c r="V94" s="98" t="s">
        <v>187</v>
      </c>
      <c r="W94" s="97"/>
      <c r="X94" s="39" t="str">
        <f>'Diccionario Datos - PostgreSQL'!X97</f>
        <v>clave primaria</v>
      </c>
      <c r="Y94" s="36"/>
    </row>
    <row r="95" ht="22.5" customHeight="1">
      <c r="A95" s="99">
        <v>2.0</v>
      </c>
      <c r="B95" s="38" t="str">
        <f>'Diccionario Datos - PostgreSQL'!B98</f>
        <v>id_apiario</v>
      </c>
      <c r="C95" s="95" t="str">
        <f>'Diccionario Datos - PostgreSQL'!C98</f>
        <v>apiario inspeccionado</v>
      </c>
      <c r="D95" s="96"/>
      <c r="E95" s="96"/>
      <c r="F95" s="97"/>
      <c r="G95" s="98" t="s">
        <v>165</v>
      </c>
      <c r="H95" s="96"/>
      <c r="I95" s="96"/>
      <c r="J95" s="97"/>
      <c r="K95" s="95" t="str">
        <f>'Diccionario Datos - PostgreSQL'!K98</f>
        <v/>
      </c>
      <c r="L95" s="96"/>
      <c r="M95" s="96"/>
      <c r="N95" s="97"/>
      <c r="O95" s="98" t="str">
        <f>'Diccionario Datos - PostgreSQL'!O98</f>
        <v>no</v>
      </c>
      <c r="P95" s="96"/>
      <c r="Q95" s="97"/>
      <c r="R95" s="42"/>
      <c r="S95" s="12"/>
      <c r="T95" s="42" t="s">
        <v>187</v>
      </c>
      <c r="U95" s="12"/>
      <c r="V95" s="98"/>
      <c r="W95" s="97"/>
      <c r="X95" s="39" t="str">
        <f>'Diccionario Datos - PostgreSQL'!X98</f>
        <v>relacion con apiarios</v>
      </c>
      <c r="Y95" s="36"/>
    </row>
    <row r="96" ht="36.0" customHeight="1">
      <c r="A96" s="99">
        <v>3.0</v>
      </c>
      <c r="B96" s="38" t="str">
        <f>'Diccionario Datos - PostgreSQL'!B99</f>
        <v>id_entidad</v>
      </c>
      <c r="C96" s="95" t="str">
        <f>'Diccionario Datos - PostgreSQL'!C99</f>
        <v>entidad que inspecciona</v>
      </c>
      <c r="D96" s="96"/>
      <c r="E96" s="96"/>
      <c r="F96" s="97"/>
      <c r="G96" s="98" t="s">
        <v>165</v>
      </c>
      <c r="H96" s="96"/>
      <c r="I96" s="96"/>
      <c r="J96" s="97"/>
      <c r="K96" s="95" t="str">
        <f>'Diccionario Datos - PostgreSQL'!K99</f>
        <v/>
      </c>
      <c r="L96" s="96"/>
      <c r="M96" s="96"/>
      <c r="N96" s="97"/>
      <c r="O96" s="98" t="str">
        <f>'Diccionario Datos - PostgreSQL'!O99</f>
        <v>no</v>
      </c>
      <c r="P96" s="96"/>
      <c r="Q96" s="97"/>
      <c r="R96" s="42"/>
      <c r="S96" s="12"/>
      <c r="T96" s="42" t="s">
        <v>187</v>
      </c>
      <c r="U96" s="12"/>
      <c r="V96" s="39"/>
      <c r="W96" s="12"/>
      <c r="X96" s="39" t="str">
        <f>'Diccionario Datos - PostgreSQL'!X99</f>
        <v>relacion con entidades_regulatorias</v>
      </c>
      <c r="Y96" s="36"/>
    </row>
    <row r="97" ht="26.25" customHeight="1">
      <c r="A97" s="99">
        <v>4.0</v>
      </c>
      <c r="B97" s="38" t="str">
        <f>'Diccionario Datos - PostgreSQL'!B100</f>
        <v>fecha</v>
      </c>
      <c r="C97" s="95" t="str">
        <f>'Diccionario Datos - PostgreSQL'!C100</f>
        <v>fecha de la inspeccion</v>
      </c>
      <c r="D97" s="96"/>
      <c r="E97" s="96"/>
      <c r="F97" s="97"/>
      <c r="G97" s="98" t="s">
        <v>43</v>
      </c>
      <c r="H97" s="96"/>
      <c r="I97" s="96"/>
      <c r="J97" s="97"/>
      <c r="K97" s="95" t="str">
        <f>'Diccionario Datos - PostgreSQL'!K100</f>
        <v/>
      </c>
      <c r="L97" s="96"/>
      <c r="M97" s="96"/>
      <c r="N97" s="97"/>
      <c r="O97" s="98" t="str">
        <f>'Diccionario Datos - PostgreSQL'!O100</f>
        <v>no</v>
      </c>
      <c r="P97" s="96"/>
      <c r="Q97" s="97"/>
      <c r="R97" s="42"/>
      <c r="S97" s="12"/>
      <c r="T97" s="39"/>
      <c r="U97" s="12"/>
      <c r="V97" s="39"/>
      <c r="W97" s="12"/>
      <c r="X97" s="39" t="str">
        <f>'Diccionario Datos - PostgreSQL'!X100</f>
        <v/>
      </c>
      <c r="Y97" s="36"/>
    </row>
    <row r="98" ht="15.75" customHeight="1"/>
    <row r="99" ht="27.75" customHeight="1">
      <c r="A99" s="64">
        <f>'Diccionario Datos - PostgreSQL'!A102</f>
        <v>16</v>
      </c>
      <c r="B99" s="69" t="s">
        <v>88</v>
      </c>
      <c r="C99" s="85" t="str">
        <f>'Diccionario Datos - PostgreSQL'!C100</f>
        <v>fecha de la inspeccion</v>
      </c>
      <c r="D99" s="86"/>
      <c r="E99" s="86"/>
      <c r="F99" s="87"/>
      <c r="G99" s="88" t="s">
        <v>89</v>
      </c>
      <c r="H99" s="28"/>
      <c r="I99" s="28"/>
      <c r="J99" s="29"/>
      <c r="K99" s="89" t="str">
        <f>'Diccionario Datos - PostgreSQL'!K102</f>
        <v>Registro de lotes generados en producción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7"/>
      <c r="X99" s="90" t="s">
        <v>138</v>
      </c>
      <c r="Y99" s="33">
        <v>8.0</v>
      </c>
    </row>
    <row r="100" ht="26.25" customHeight="1">
      <c r="A100" s="72" t="s">
        <v>1</v>
      </c>
      <c r="B100" s="73" t="s">
        <v>139</v>
      </c>
      <c r="C100" s="74" t="s">
        <v>140</v>
      </c>
      <c r="D100" s="3"/>
      <c r="E100" s="3"/>
      <c r="F100" s="75"/>
      <c r="G100" s="76" t="s">
        <v>241</v>
      </c>
      <c r="H100" s="77"/>
      <c r="I100" s="77"/>
      <c r="J100" s="78"/>
      <c r="K100" s="74" t="s">
        <v>142</v>
      </c>
      <c r="L100" s="3"/>
      <c r="M100" s="3"/>
      <c r="N100" s="75"/>
      <c r="O100" s="74" t="s">
        <v>143</v>
      </c>
      <c r="P100" s="3"/>
      <c r="Q100" s="75"/>
      <c r="R100" s="91" t="s">
        <v>144</v>
      </c>
      <c r="S100" s="92"/>
      <c r="T100" s="91" t="s">
        <v>145</v>
      </c>
      <c r="U100" s="92"/>
      <c r="V100" s="74" t="s">
        <v>146</v>
      </c>
      <c r="W100" s="75"/>
      <c r="X100" s="93" t="s">
        <v>147</v>
      </c>
      <c r="Y100" s="94"/>
    </row>
    <row r="101" ht="30.75" customHeight="1">
      <c r="A101" s="40">
        <v>1.0</v>
      </c>
      <c r="B101" s="38" t="str">
        <f>'Diccionario Datos - PostgreSQL'!B104</f>
        <v>id_lote</v>
      </c>
      <c r="C101" s="95" t="str">
        <f>'Diccionario Datos - PostgreSQL'!C104</f>
        <v>identificacion del lote</v>
      </c>
      <c r="D101" s="96"/>
      <c r="E101" s="96"/>
      <c r="F101" s="97"/>
      <c r="G101" s="98" t="s">
        <v>13</v>
      </c>
      <c r="H101" s="96"/>
      <c r="I101" s="96"/>
      <c r="J101" s="97"/>
      <c r="K101" s="95" t="str">
        <f>'Diccionario Datos - PostgreSQL'!K104</f>
        <v/>
      </c>
      <c r="L101" s="96"/>
      <c r="M101" s="96"/>
      <c r="N101" s="97"/>
      <c r="O101" s="98" t="str">
        <f>'Diccionario Datos - PostgreSQL'!O104</f>
        <v>no</v>
      </c>
      <c r="P101" s="96"/>
      <c r="Q101" s="97"/>
      <c r="R101" s="42" t="s">
        <v>152</v>
      </c>
      <c r="S101" s="12"/>
      <c r="T101" s="39"/>
      <c r="U101" s="12"/>
      <c r="V101" s="98" t="s">
        <v>187</v>
      </c>
      <c r="W101" s="97"/>
      <c r="X101" s="39" t="str">
        <f>'Diccionario Datos - PostgreSQL'!X104</f>
        <v>clave primaria</v>
      </c>
      <c r="Y101" s="36"/>
    </row>
    <row r="102" ht="24.75" customHeight="1">
      <c r="A102" s="99">
        <v>2.0</v>
      </c>
      <c r="B102" s="38" t="str">
        <f>'Diccionario Datos - PostgreSQL'!B105</f>
        <v>fecha</v>
      </c>
      <c r="C102" s="95" t="str">
        <f>'Diccionario Datos - PostgreSQL'!C105</f>
        <v>fecha de produccion</v>
      </c>
      <c r="D102" s="96"/>
      <c r="E102" s="96"/>
      <c r="F102" s="97"/>
      <c r="G102" s="98" t="s">
        <v>43</v>
      </c>
      <c r="H102" s="96"/>
      <c r="I102" s="96"/>
      <c r="J102" s="97"/>
      <c r="K102" s="95" t="str">
        <f>'Diccionario Datos - PostgreSQL'!K105</f>
        <v/>
      </c>
      <c r="L102" s="96"/>
      <c r="M102" s="96"/>
      <c r="N102" s="97"/>
      <c r="O102" s="98" t="str">
        <f>'Diccionario Datos - PostgreSQL'!O105</f>
        <v>no</v>
      </c>
      <c r="P102" s="96"/>
      <c r="Q102" s="97"/>
      <c r="R102" s="42"/>
      <c r="S102" s="12"/>
      <c r="T102" s="42" t="s">
        <v>187</v>
      </c>
      <c r="U102" s="12"/>
      <c r="V102" s="98"/>
      <c r="W102" s="97"/>
      <c r="X102" s="39" t="str">
        <f>'Diccionario Datos - PostgreSQL'!X105</f>
        <v/>
      </c>
      <c r="Y102" s="36"/>
    </row>
    <row r="103" ht="27.75" customHeight="1">
      <c r="A103" s="99">
        <v>3.0</v>
      </c>
      <c r="B103" s="38" t="str">
        <f>'Diccionario Datos - PostgreSQL'!B106</f>
        <v>cantidad</v>
      </c>
      <c r="C103" s="95" t="str">
        <f>'Diccionario Datos - PostgreSQL'!C106</f>
        <v>cantidad producida</v>
      </c>
      <c r="D103" s="96"/>
      <c r="E103" s="96"/>
      <c r="F103" s="97"/>
      <c r="G103" s="98" t="s">
        <v>165</v>
      </c>
      <c r="H103" s="96"/>
      <c r="I103" s="96"/>
      <c r="J103" s="97"/>
      <c r="K103" s="95" t="str">
        <f>'Diccionario Datos - PostgreSQL'!K106</f>
        <v/>
      </c>
      <c r="L103" s="96"/>
      <c r="M103" s="96"/>
      <c r="N103" s="97"/>
      <c r="O103" s="98" t="str">
        <f>'Diccionario Datos - PostgreSQL'!O106</f>
        <v>no</v>
      </c>
      <c r="P103" s="96"/>
      <c r="Q103" s="97"/>
      <c r="R103" s="42"/>
      <c r="S103" s="12"/>
      <c r="T103" s="39"/>
      <c r="U103" s="12"/>
      <c r="V103" s="39"/>
      <c r="W103" s="12"/>
      <c r="X103" s="39" t="str">
        <f>'Diccionario Datos - PostgreSQL'!X106</f>
        <v/>
      </c>
      <c r="Y103" s="36"/>
    </row>
    <row r="104" ht="21.75" customHeight="1">
      <c r="A104" s="99">
        <v>4.0</v>
      </c>
      <c r="B104" s="38" t="str">
        <f>'Diccionario Datos - PostgreSQL'!B107</f>
        <v/>
      </c>
      <c r="C104" s="95" t="str">
        <f>'Diccionario Datos - PostgreSQL'!C107</f>
        <v/>
      </c>
      <c r="D104" s="96"/>
      <c r="E104" s="96"/>
      <c r="F104" s="97"/>
      <c r="G104" s="98"/>
      <c r="H104" s="96"/>
      <c r="I104" s="96"/>
      <c r="J104" s="97"/>
      <c r="K104" s="95" t="str">
        <f>'Diccionario Datos - PostgreSQL'!K107</f>
        <v/>
      </c>
      <c r="L104" s="96"/>
      <c r="M104" s="96"/>
      <c r="N104" s="97"/>
      <c r="O104" s="98" t="str">
        <f>'Diccionario Datos - PostgreSQL'!O107</f>
        <v/>
      </c>
      <c r="P104" s="96"/>
      <c r="Q104" s="97"/>
      <c r="R104" s="42"/>
      <c r="S104" s="12"/>
      <c r="T104" s="39"/>
      <c r="U104" s="12"/>
      <c r="V104" s="39"/>
      <c r="W104" s="12"/>
      <c r="X104" s="39" t="str">
        <f>'Diccionario Datos - PostgreSQL'!X107</f>
        <v/>
      </c>
      <c r="Y104" s="36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585">
    <mergeCell ref="C8:F8"/>
    <mergeCell ref="G8:J8"/>
    <mergeCell ref="K8:W8"/>
    <mergeCell ref="C9:F9"/>
    <mergeCell ref="G9:J9"/>
    <mergeCell ref="K9:N9"/>
    <mergeCell ref="O9:Q9"/>
    <mergeCell ref="G10:J10"/>
    <mergeCell ref="K10:N10"/>
    <mergeCell ref="O10:Q10"/>
    <mergeCell ref="R10:S10"/>
    <mergeCell ref="T10:U10"/>
    <mergeCell ref="V10:W10"/>
    <mergeCell ref="X10:Y10"/>
    <mergeCell ref="V11:W11"/>
    <mergeCell ref="X11:Y11"/>
    <mergeCell ref="C10:F10"/>
    <mergeCell ref="C11:F11"/>
    <mergeCell ref="G11:J11"/>
    <mergeCell ref="K11:N11"/>
    <mergeCell ref="O11:Q11"/>
    <mergeCell ref="R11:S11"/>
    <mergeCell ref="T11:U11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R9:S9"/>
    <mergeCell ref="T9:U9"/>
    <mergeCell ref="V9:W9"/>
    <mergeCell ref="X9:Y9"/>
    <mergeCell ref="V13:W13"/>
    <mergeCell ref="X13:Y13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2:J12"/>
    <mergeCell ref="K12:N12"/>
    <mergeCell ref="O12:Q12"/>
    <mergeCell ref="R12:S12"/>
    <mergeCell ref="T12:U12"/>
    <mergeCell ref="V12:W12"/>
    <mergeCell ref="X12:Y12"/>
    <mergeCell ref="C12:F12"/>
    <mergeCell ref="C13:F13"/>
    <mergeCell ref="G13:J13"/>
    <mergeCell ref="K13:N13"/>
    <mergeCell ref="O13:Q13"/>
    <mergeCell ref="R13:S13"/>
    <mergeCell ref="T13:U13"/>
    <mergeCell ref="R16:S16"/>
    <mergeCell ref="T16:U16"/>
    <mergeCell ref="V16:W16"/>
    <mergeCell ref="X16:Y16"/>
    <mergeCell ref="C15:F15"/>
    <mergeCell ref="G15:J15"/>
    <mergeCell ref="K15:W15"/>
    <mergeCell ref="C16:F16"/>
    <mergeCell ref="G16:J16"/>
    <mergeCell ref="K16:N16"/>
    <mergeCell ref="O16:Q16"/>
    <mergeCell ref="V18:W18"/>
    <mergeCell ref="X18:Y18"/>
    <mergeCell ref="V21:W21"/>
    <mergeCell ref="X21:Y21"/>
    <mergeCell ref="G28:J28"/>
    <mergeCell ref="K28:N28"/>
    <mergeCell ref="O28:Q28"/>
    <mergeCell ref="R28:S28"/>
    <mergeCell ref="T28:U28"/>
    <mergeCell ref="V28:W28"/>
    <mergeCell ref="X28:Y28"/>
    <mergeCell ref="C28:F28"/>
    <mergeCell ref="C29:F29"/>
    <mergeCell ref="G29:J29"/>
    <mergeCell ref="K29:N29"/>
    <mergeCell ref="O29:Q29"/>
    <mergeCell ref="R29:S29"/>
    <mergeCell ref="T29:U29"/>
    <mergeCell ref="T30:U30"/>
    <mergeCell ref="V30:W30"/>
    <mergeCell ref="V29:W29"/>
    <mergeCell ref="X29:Y29"/>
    <mergeCell ref="G30:J30"/>
    <mergeCell ref="K30:N30"/>
    <mergeCell ref="O30:Q30"/>
    <mergeCell ref="R30:S30"/>
    <mergeCell ref="X30:Y30"/>
    <mergeCell ref="G24:J24"/>
    <mergeCell ref="K24:N24"/>
    <mergeCell ref="O24:Q24"/>
    <mergeCell ref="R24:S24"/>
    <mergeCell ref="T24:U24"/>
    <mergeCell ref="V24:W24"/>
    <mergeCell ref="X24:Y24"/>
    <mergeCell ref="K26:W26"/>
    <mergeCell ref="C24:F24"/>
    <mergeCell ref="C26:F26"/>
    <mergeCell ref="G26:J26"/>
    <mergeCell ref="C27:F27"/>
    <mergeCell ref="G27:J27"/>
    <mergeCell ref="K27:N27"/>
    <mergeCell ref="O27:Q27"/>
    <mergeCell ref="R21:S21"/>
    <mergeCell ref="T21:U21"/>
    <mergeCell ref="C20:F20"/>
    <mergeCell ref="G20:J20"/>
    <mergeCell ref="K20:W20"/>
    <mergeCell ref="C21:F21"/>
    <mergeCell ref="G21:J21"/>
    <mergeCell ref="K21:N21"/>
    <mergeCell ref="O21:Q21"/>
    <mergeCell ref="G22:J22"/>
    <mergeCell ref="K22:N22"/>
    <mergeCell ref="O22:Q22"/>
    <mergeCell ref="R22:S22"/>
    <mergeCell ref="T22:U22"/>
    <mergeCell ref="V22:W22"/>
    <mergeCell ref="X22:Y22"/>
    <mergeCell ref="V23:W23"/>
    <mergeCell ref="X23:Y23"/>
    <mergeCell ref="C22:F22"/>
    <mergeCell ref="C23:F23"/>
    <mergeCell ref="G23:J23"/>
    <mergeCell ref="K23:N23"/>
    <mergeCell ref="O23:Q23"/>
    <mergeCell ref="R23:S23"/>
    <mergeCell ref="T23:U23"/>
    <mergeCell ref="R27:S27"/>
    <mergeCell ref="T27:U27"/>
    <mergeCell ref="V27:W27"/>
    <mergeCell ref="X27:Y27"/>
    <mergeCell ref="T33:U33"/>
    <mergeCell ref="V33:W33"/>
    <mergeCell ref="X33:Y33"/>
    <mergeCell ref="G36:J36"/>
    <mergeCell ref="K36:N36"/>
    <mergeCell ref="O36:Q36"/>
    <mergeCell ref="R36:S36"/>
    <mergeCell ref="T36:U36"/>
    <mergeCell ref="V36:W36"/>
    <mergeCell ref="X36:Y36"/>
    <mergeCell ref="C36:F36"/>
    <mergeCell ref="C37:F37"/>
    <mergeCell ref="G37:J37"/>
    <mergeCell ref="K37:N37"/>
    <mergeCell ref="O37:Q37"/>
    <mergeCell ref="R37:S37"/>
    <mergeCell ref="T37:U37"/>
    <mergeCell ref="O33:Q33"/>
    <mergeCell ref="R33:S33"/>
    <mergeCell ref="C30:F30"/>
    <mergeCell ref="C32:F32"/>
    <mergeCell ref="G32:J32"/>
    <mergeCell ref="K32:W32"/>
    <mergeCell ref="C33:F33"/>
    <mergeCell ref="G33:J33"/>
    <mergeCell ref="K33:N33"/>
    <mergeCell ref="G34:J34"/>
    <mergeCell ref="K34:N34"/>
    <mergeCell ref="O34:Q34"/>
    <mergeCell ref="R34:S34"/>
    <mergeCell ref="T34:U34"/>
    <mergeCell ref="V34:W34"/>
    <mergeCell ref="X34:Y34"/>
    <mergeCell ref="V35:W35"/>
    <mergeCell ref="X35:Y35"/>
    <mergeCell ref="C34:F34"/>
    <mergeCell ref="C35:F35"/>
    <mergeCell ref="G35:J35"/>
    <mergeCell ref="K35:N35"/>
    <mergeCell ref="O35:Q35"/>
    <mergeCell ref="R35:S35"/>
    <mergeCell ref="T35:U35"/>
    <mergeCell ref="V37:W37"/>
    <mergeCell ref="X37:Y37"/>
    <mergeCell ref="V40:W40"/>
    <mergeCell ref="X40:Y40"/>
    <mergeCell ref="G43:J43"/>
    <mergeCell ref="K43:N43"/>
    <mergeCell ref="O43:Q43"/>
    <mergeCell ref="R43:S43"/>
    <mergeCell ref="T43:U43"/>
    <mergeCell ref="V43:W43"/>
    <mergeCell ref="X43:Y43"/>
    <mergeCell ref="K45:W45"/>
    <mergeCell ref="C43:F43"/>
    <mergeCell ref="C45:F45"/>
    <mergeCell ref="G45:J45"/>
    <mergeCell ref="C46:F46"/>
    <mergeCell ref="G46:J46"/>
    <mergeCell ref="K46:N46"/>
    <mergeCell ref="O46:Q46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T52:U52"/>
    <mergeCell ref="V52:W52"/>
    <mergeCell ref="X52:Y52"/>
    <mergeCell ref="R51:S51"/>
    <mergeCell ref="T51:U51"/>
    <mergeCell ref="C52:F52"/>
    <mergeCell ref="G52:J52"/>
    <mergeCell ref="K52:N52"/>
    <mergeCell ref="O52:Q52"/>
    <mergeCell ref="R52:S52"/>
    <mergeCell ref="K51:N51"/>
    <mergeCell ref="O51:Q51"/>
    <mergeCell ref="V51:W51"/>
    <mergeCell ref="X51:Y51"/>
    <mergeCell ref="V48:W48"/>
    <mergeCell ref="X48:Y48"/>
    <mergeCell ref="C50:F50"/>
    <mergeCell ref="G50:J50"/>
    <mergeCell ref="K50:W50"/>
    <mergeCell ref="C51:F51"/>
    <mergeCell ref="G51:J51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T55:U55"/>
    <mergeCell ref="V55:W55"/>
    <mergeCell ref="V54:W54"/>
    <mergeCell ref="X54:Y54"/>
    <mergeCell ref="G55:J55"/>
    <mergeCell ref="K55:N55"/>
    <mergeCell ref="O55:Q55"/>
    <mergeCell ref="R55:S55"/>
    <mergeCell ref="X55:Y55"/>
    <mergeCell ref="R40:S40"/>
    <mergeCell ref="T40:U40"/>
    <mergeCell ref="C39:F39"/>
    <mergeCell ref="G39:J39"/>
    <mergeCell ref="K39:W39"/>
    <mergeCell ref="C40:F40"/>
    <mergeCell ref="G40:J40"/>
    <mergeCell ref="K40:N40"/>
    <mergeCell ref="O40:Q40"/>
    <mergeCell ref="G41:J41"/>
    <mergeCell ref="K41:N41"/>
    <mergeCell ref="O41:Q41"/>
    <mergeCell ref="R41:S41"/>
    <mergeCell ref="T41:U41"/>
    <mergeCell ref="V41:W41"/>
    <mergeCell ref="X41:Y41"/>
    <mergeCell ref="V42:W42"/>
    <mergeCell ref="X42:Y42"/>
    <mergeCell ref="C41:F41"/>
    <mergeCell ref="C42:F42"/>
    <mergeCell ref="G42:J42"/>
    <mergeCell ref="K42:N42"/>
    <mergeCell ref="O42:Q42"/>
    <mergeCell ref="R42:S42"/>
    <mergeCell ref="T42:U42"/>
    <mergeCell ref="R46:S46"/>
    <mergeCell ref="T46:U46"/>
    <mergeCell ref="V46:W46"/>
    <mergeCell ref="X46:Y46"/>
    <mergeCell ref="T58:U58"/>
    <mergeCell ref="V58:W58"/>
    <mergeCell ref="X58:Y58"/>
    <mergeCell ref="R65:S65"/>
    <mergeCell ref="T65:U65"/>
    <mergeCell ref="C64:F64"/>
    <mergeCell ref="G64:J64"/>
    <mergeCell ref="K64:W64"/>
    <mergeCell ref="C65:F65"/>
    <mergeCell ref="G65:J65"/>
    <mergeCell ref="K65:N65"/>
    <mergeCell ref="O65:Q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73:U73"/>
    <mergeCell ref="V73:W73"/>
    <mergeCell ref="X73:Y73"/>
    <mergeCell ref="R72:S72"/>
    <mergeCell ref="T72:U72"/>
    <mergeCell ref="C73:F73"/>
    <mergeCell ref="G73:J73"/>
    <mergeCell ref="K73:N73"/>
    <mergeCell ref="O73:Q73"/>
    <mergeCell ref="R73:S7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R86:S86"/>
    <mergeCell ref="T86:U86"/>
    <mergeCell ref="C85:F85"/>
    <mergeCell ref="G85:J85"/>
    <mergeCell ref="K85:W85"/>
    <mergeCell ref="C86:F86"/>
    <mergeCell ref="G86:J86"/>
    <mergeCell ref="K86:N86"/>
    <mergeCell ref="O86:Q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3:W93"/>
    <mergeCell ref="X93:Y93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R93:S93"/>
    <mergeCell ref="T93:U93"/>
    <mergeCell ref="C92:F92"/>
    <mergeCell ref="G92:J92"/>
    <mergeCell ref="K92:W92"/>
    <mergeCell ref="C93:F93"/>
    <mergeCell ref="G93:J93"/>
    <mergeCell ref="K93:N93"/>
    <mergeCell ref="O93:Q93"/>
    <mergeCell ref="G94:J94"/>
    <mergeCell ref="K94:N94"/>
    <mergeCell ref="O94:Q94"/>
    <mergeCell ref="R94:S94"/>
    <mergeCell ref="T94:U94"/>
    <mergeCell ref="V94:W94"/>
    <mergeCell ref="X94:Y94"/>
    <mergeCell ref="V95:W95"/>
    <mergeCell ref="X95:Y95"/>
    <mergeCell ref="C94:F94"/>
    <mergeCell ref="C95:F95"/>
    <mergeCell ref="G95:J95"/>
    <mergeCell ref="K95:N95"/>
    <mergeCell ref="O95:Q95"/>
    <mergeCell ref="R95:S95"/>
    <mergeCell ref="T95:U95"/>
    <mergeCell ref="V97:W97"/>
    <mergeCell ref="X97:Y97"/>
    <mergeCell ref="V100:W100"/>
    <mergeCell ref="X100:Y100"/>
    <mergeCell ref="K72:N72"/>
    <mergeCell ref="O72:Q72"/>
    <mergeCell ref="V72:W72"/>
    <mergeCell ref="X72:Y72"/>
    <mergeCell ref="V67:W67"/>
    <mergeCell ref="X67:Y67"/>
    <mergeCell ref="C71:F71"/>
    <mergeCell ref="G71:J71"/>
    <mergeCell ref="K71:W71"/>
    <mergeCell ref="C72:F72"/>
    <mergeCell ref="G72:J72"/>
    <mergeCell ref="G74:J74"/>
    <mergeCell ref="K74:N74"/>
    <mergeCell ref="O74:Q74"/>
    <mergeCell ref="R74:S74"/>
    <mergeCell ref="T74:U74"/>
    <mergeCell ref="V74:W74"/>
    <mergeCell ref="X74:Y74"/>
    <mergeCell ref="C74:F74"/>
    <mergeCell ref="C75:F75"/>
    <mergeCell ref="G75:J75"/>
    <mergeCell ref="K75:N75"/>
    <mergeCell ref="O75:Q75"/>
    <mergeCell ref="R75:S75"/>
    <mergeCell ref="T75:U75"/>
    <mergeCell ref="T76:U76"/>
    <mergeCell ref="V76:W76"/>
    <mergeCell ref="V75:W75"/>
    <mergeCell ref="X75:Y75"/>
    <mergeCell ref="G76:J76"/>
    <mergeCell ref="K76:N76"/>
    <mergeCell ref="O76:Q76"/>
    <mergeCell ref="R76:S76"/>
    <mergeCell ref="X76:Y76"/>
    <mergeCell ref="O58:Q58"/>
    <mergeCell ref="R58:S58"/>
    <mergeCell ref="C55:F55"/>
    <mergeCell ref="C57:F57"/>
    <mergeCell ref="G57:J57"/>
    <mergeCell ref="K57:W57"/>
    <mergeCell ref="C58:F58"/>
    <mergeCell ref="G58:J58"/>
    <mergeCell ref="K58:N58"/>
    <mergeCell ref="G59:J59"/>
    <mergeCell ref="K59:N59"/>
    <mergeCell ref="O59:Q59"/>
    <mergeCell ref="R59:S59"/>
    <mergeCell ref="T59:U59"/>
    <mergeCell ref="V59:W59"/>
    <mergeCell ref="X59:Y59"/>
    <mergeCell ref="V60:W60"/>
    <mergeCell ref="X60:Y60"/>
    <mergeCell ref="C59:F59"/>
    <mergeCell ref="C60:F60"/>
    <mergeCell ref="G60:J60"/>
    <mergeCell ref="K60:N60"/>
    <mergeCell ref="O60:Q60"/>
    <mergeCell ref="R60:S60"/>
    <mergeCell ref="T60:U60"/>
    <mergeCell ref="V65:W65"/>
    <mergeCell ref="X65:Y65"/>
    <mergeCell ref="T79:U79"/>
    <mergeCell ref="V79:W79"/>
    <mergeCell ref="X79:Y79"/>
    <mergeCell ref="G82:J82"/>
    <mergeCell ref="K82:N82"/>
    <mergeCell ref="O82:Q82"/>
    <mergeCell ref="R82:S82"/>
    <mergeCell ref="T82:U82"/>
    <mergeCell ref="V82:W82"/>
    <mergeCell ref="X82:Y82"/>
    <mergeCell ref="C82:F82"/>
    <mergeCell ref="C83:F83"/>
    <mergeCell ref="G83:J83"/>
    <mergeCell ref="K83:N83"/>
    <mergeCell ref="O83:Q83"/>
    <mergeCell ref="R83:S83"/>
    <mergeCell ref="T83:U83"/>
    <mergeCell ref="O79:Q79"/>
    <mergeCell ref="R79:S79"/>
    <mergeCell ref="C76:F76"/>
    <mergeCell ref="C78:F78"/>
    <mergeCell ref="G78:J78"/>
    <mergeCell ref="K78:W78"/>
    <mergeCell ref="C79:F79"/>
    <mergeCell ref="G79:J79"/>
    <mergeCell ref="K79:N79"/>
    <mergeCell ref="G80:J80"/>
    <mergeCell ref="K80:N80"/>
    <mergeCell ref="O80:Q80"/>
    <mergeCell ref="R80:S80"/>
    <mergeCell ref="T80:U80"/>
    <mergeCell ref="V80:W80"/>
    <mergeCell ref="X80:Y80"/>
    <mergeCell ref="V81:W81"/>
    <mergeCell ref="X81:Y81"/>
    <mergeCell ref="C80:F80"/>
    <mergeCell ref="C81:F81"/>
    <mergeCell ref="G81:J81"/>
    <mergeCell ref="K81:N81"/>
    <mergeCell ref="O81:Q81"/>
    <mergeCell ref="R81:S81"/>
    <mergeCell ref="T81:U81"/>
    <mergeCell ref="V83:W83"/>
    <mergeCell ref="X83:Y83"/>
    <mergeCell ref="V86:W86"/>
    <mergeCell ref="X86:Y86"/>
    <mergeCell ref="R100:S100"/>
    <mergeCell ref="T100:U100"/>
    <mergeCell ref="C99:F99"/>
    <mergeCell ref="G99:J99"/>
    <mergeCell ref="K99:W99"/>
    <mergeCell ref="C100:F100"/>
    <mergeCell ref="G100:J100"/>
    <mergeCell ref="K100:N100"/>
    <mergeCell ref="O100:Q100"/>
    <mergeCell ref="G101:J101"/>
    <mergeCell ref="K101:N101"/>
    <mergeCell ref="O101:Q101"/>
    <mergeCell ref="R101:S101"/>
    <mergeCell ref="T101:U101"/>
    <mergeCell ref="V101:W101"/>
    <mergeCell ref="X101:Y101"/>
    <mergeCell ref="V102:W102"/>
    <mergeCell ref="X102:Y102"/>
    <mergeCell ref="C101:F101"/>
    <mergeCell ref="C102:F102"/>
    <mergeCell ref="G102:J102"/>
    <mergeCell ref="K102:N102"/>
    <mergeCell ref="O102:Q102"/>
    <mergeCell ref="R102:S102"/>
    <mergeCell ref="T102:U102"/>
    <mergeCell ref="G103:J103"/>
    <mergeCell ref="K103:N103"/>
    <mergeCell ref="O103:Q103"/>
    <mergeCell ref="R103:S103"/>
    <mergeCell ref="T103:U103"/>
    <mergeCell ref="V103:W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100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8.5" customHeight="1"/>
    <row r="3" ht="51.0" customHeight="1">
      <c r="A3" s="64">
        <f>'Invetario de Tablas'!A4</f>
        <v>1</v>
      </c>
      <c r="B3" s="101" t="s">
        <v>88</v>
      </c>
      <c r="C3" s="27" t="str">
        <f>'Invetario de Tablas'!B4</f>
        <v>rol</v>
      </c>
      <c r="D3" s="28"/>
      <c r="E3" s="28"/>
      <c r="F3" s="29"/>
      <c r="G3" s="102" t="s">
        <v>89</v>
      </c>
      <c r="H3" s="28"/>
      <c r="I3" s="28"/>
      <c r="J3" s="29"/>
      <c r="K3" s="31" t="str">
        <f>'Invetario de Tablas'!C4</f>
        <v>Define los tipos de usuario del sistema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/>
      <c r="X3" s="103" t="s">
        <v>138</v>
      </c>
      <c r="Y3" s="33">
        <v>2025.0</v>
      </c>
    </row>
    <row r="4" ht="37.5" customHeight="1">
      <c r="A4" s="104" t="s">
        <v>1</v>
      </c>
      <c r="B4" s="9" t="s">
        <v>139</v>
      </c>
      <c r="C4" s="105" t="s">
        <v>140</v>
      </c>
      <c r="D4" s="11"/>
      <c r="E4" s="11"/>
      <c r="F4" s="12"/>
      <c r="G4" s="105" t="s">
        <v>243</v>
      </c>
      <c r="H4" s="11"/>
      <c r="I4" s="11"/>
      <c r="J4" s="12"/>
      <c r="K4" s="105" t="s">
        <v>244</v>
      </c>
      <c r="L4" s="11"/>
      <c r="M4" s="11"/>
      <c r="N4" s="12"/>
      <c r="O4" s="105" t="s">
        <v>143</v>
      </c>
      <c r="P4" s="11"/>
      <c r="Q4" s="12"/>
      <c r="R4" s="105" t="s">
        <v>144</v>
      </c>
      <c r="S4" s="12"/>
      <c r="T4" s="105" t="s">
        <v>145</v>
      </c>
      <c r="U4" s="12"/>
      <c r="V4" s="105" t="s">
        <v>146</v>
      </c>
      <c r="W4" s="12"/>
      <c r="X4" s="105" t="s">
        <v>147</v>
      </c>
      <c r="Y4" s="36"/>
    </row>
    <row r="5" ht="30.0" customHeight="1">
      <c r="A5" s="37">
        <v>1.0</v>
      </c>
      <c r="B5" s="38" t="str">
        <f>'Diccionario Datos - PostgreSQL'!B5</f>
        <v>id_rol</v>
      </c>
      <c r="C5" s="39" t="str">
        <f>'Diccionario Datos - PostgreSQL'!C5</f>
        <v>identificacion del rol</v>
      </c>
      <c r="D5" s="11"/>
      <c r="E5" s="11"/>
      <c r="F5" s="12"/>
      <c r="G5" s="42" t="s">
        <v>245</v>
      </c>
      <c r="H5" s="11"/>
      <c r="I5" s="11"/>
      <c r="J5" s="12"/>
      <c r="K5" s="39" t="str">
        <f>'Diccionario Datos - PostgreSQL'!K5</f>
        <v/>
      </c>
      <c r="L5" s="11"/>
      <c r="M5" s="11"/>
      <c r="N5" s="12"/>
      <c r="O5" s="39" t="str">
        <f>'Diccionario Datos - PostgreSQL'!O5</f>
        <v>no</v>
      </c>
      <c r="P5" s="11"/>
      <c r="Q5" s="12"/>
      <c r="R5" s="39" t="str">
        <f>'Diccionario Datos - PostgreSQL'!R5</f>
        <v>s</v>
      </c>
      <c r="S5" s="12"/>
      <c r="T5" s="39" t="str">
        <f>'Diccionario Datos - PostgreSQL'!T5</f>
        <v/>
      </c>
      <c r="U5" s="12"/>
      <c r="V5" s="39" t="str">
        <f>'Diccionario Datos - PostgreSQL'!V5</f>
        <v>s</v>
      </c>
      <c r="W5" s="12"/>
      <c r="X5" s="39" t="str">
        <f>'Diccionario Datos - PostgreSQL'!X5</f>
        <v>clave primaria</v>
      </c>
      <c r="Y5" s="36"/>
    </row>
    <row r="6" ht="30.0" customHeight="1">
      <c r="A6" s="37">
        <v>2.0</v>
      </c>
      <c r="B6" s="38" t="str">
        <f>'Diccionario Datos - PostgreSQL'!B6</f>
        <v>nombre</v>
      </c>
      <c r="C6" s="39" t="str">
        <f>'Diccionario Datos - PostgreSQL'!C6</f>
        <v>nombre del rol</v>
      </c>
      <c r="D6" s="11"/>
      <c r="E6" s="11"/>
      <c r="F6" s="12"/>
      <c r="G6" s="42" t="s">
        <v>156</v>
      </c>
      <c r="H6" s="11"/>
      <c r="I6" s="11"/>
      <c r="J6" s="12"/>
      <c r="K6" s="39">
        <f>'Diccionario Datos - PostgreSQL'!K6</f>
        <v>50</v>
      </c>
      <c r="L6" s="11"/>
      <c r="M6" s="11"/>
      <c r="N6" s="12"/>
      <c r="O6" s="39" t="str">
        <f>'Diccionario Datos - PostgreSQL'!O6</f>
        <v>no</v>
      </c>
      <c r="P6" s="11"/>
      <c r="Q6" s="12"/>
      <c r="R6" s="39" t="str">
        <f>'Diccionario Datos - PostgreSQL'!R6</f>
        <v/>
      </c>
      <c r="S6" s="12"/>
      <c r="T6" s="39" t="str">
        <f>'Diccionario Datos - PostgreSQL'!T6</f>
        <v/>
      </c>
      <c r="U6" s="12"/>
      <c r="V6" s="39" t="str">
        <f>'Diccionario Datos - PostgreSQL'!V6</f>
        <v>s</v>
      </c>
      <c r="W6" s="12"/>
      <c r="X6" s="39" t="str">
        <f>'Diccionario Datos - PostgreSQL'!X6</f>
        <v>valor unico</v>
      </c>
      <c r="Y6" s="36"/>
    </row>
    <row r="7" ht="36.0" customHeight="1"/>
    <row r="8" ht="30.75" customHeight="1">
      <c r="A8" s="64">
        <f>'Invetario de Tablas'!A5</f>
        <v>2</v>
      </c>
      <c r="B8" s="101" t="s">
        <v>88</v>
      </c>
      <c r="C8" s="66" t="str">
        <f>'Invetario de Tablas'!B5</f>
        <v>usuario</v>
      </c>
      <c r="D8" s="67"/>
      <c r="E8" s="67"/>
      <c r="F8" s="68"/>
      <c r="G8" s="106" t="s">
        <v>89</v>
      </c>
      <c r="H8" s="28"/>
      <c r="I8" s="28"/>
      <c r="J8" s="29"/>
      <c r="K8" s="70" t="str">
        <f>'Invetario de Tablas'!C5</f>
        <v>Usuarios del sistema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8"/>
      <c r="X8" s="107" t="s">
        <v>138</v>
      </c>
      <c r="Y8" s="33">
        <v>2025.0</v>
      </c>
    </row>
    <row r="9" ht="21.75" customHeight="1">
      <c r="A9" s="108" t="s">
        <v>1</v>
      </c>
      <c r="B9" s="109" t="s">
        <v>139</v>
      </c>
      <c r="C9" s="110" t="s">
        <v>140</v>
      </c>
      <c r="D9" s="3"/>
      <c r="E9" s="3"/>
      <c r="F9" s="75"/>
      <c r="G9" s="111" t="s">
        <v>243</v>
      </c>
      <c r="H9" s="77"/>
      <c r="I9" s="77"/>
      <c r="J9" s="78"/>
      <c r="K9" s="110" t="s">
        <v>142</v>
      </c>
      <c r="L9" s="3"/>
      <c r="M9" s="3"/>
      <c r="N9" s="75"/>
      <c r="O9" s="110" t="s">
        <v>143</v>
      </c>
      <c r="P9" s="3"/>
      <c r="Q9" s="75"/>
      <c r="R9" s="110" t="s">
        <v>144</v>
      </c>
      <c r="S9" s="75"/>
      <c r="T9" s="110" t="s">
        <v>145</v>
      </c>
      <c r="U9" s="75"/>
      <c r="V9" s="110" t="s">
        <v>146</v>
      </c>
      <c r="W9" s="75"/>
      <c r="X9" s="112" t="s">
        <v>147</v>
      </c>
      <c r="Y9" s="79"/>
    </row>
    <row r="10" ht="30.0" customHeight="1">
      <c r="A10" s="40">
        <v>1.0</v>
      </c>
      <c r="B10" s="38" t="str">
        <f>'Diccionario Datos - PostgreSQL'!B10</f>
        <v>id_usuarios</v>
      </c>
      <c r="C10" s="39" t="str">
        <f>'Diccionario Datos - PostgreSQL'!C10</f>
        <v>identificacion de usuario</v>
      </c>
      <c r="D10" s="11"/>
      <c r="E10" s="11"/>
      <c r="F10" s="12"/>
      <c r="G10" s="42" t="s">
        <v>245</v>
      </c>
      <c r="H10" s="11"/>
      <c r="I10" s="11"/>
      <c r="J10" s="12"/>
      <c r="K10" s="39" t="str">
        <f>'Diccionario Datos - PostgreSQL'!K10</f>
        <v/>
      </c>
      <c r="L10" s="11"/>
      <c r="M10" s="11"/>
      <c r="N10" s="12"/>
      <c r="O10" s="39" t="str">
        <f>'Diccionario Datos - PostgreSQL'!O10</f>
        <v>no</v>
      </c>
      <c r="P10" s="11"/>
      <c r="Q10" s="12"/>
      <c r="R10" s="42" t="s">
        <v>187</v>
      </c>
      <c r="S10" s="12"/>
      <c r="T10" s="39"/>
      <c r="U10" s="12"/>
      <c r="V10" s="42" t="s">
        <v>187</v>
      </c>
      <c r="W10" s="12"/>
      <c r="X10" s="39" t="str">
        <f>'Diccionario Datos - PostgreSQL'!X10</f>
        <v>clave primaria</v>
      </c>
      <c r="Y10" s="36"/>
    </row>
    <row r="11" ht="24.75" customHeight="1">
      <c r="A11" s="40">
        <v>2.0</v>
      </c>
      <c r="B11" s="38" t="str">
        <f>'Diccionario Datos - PostgreSQL'!B11</f>
        <v>nombre</v>
      </c>
      <c r="C11" s="39" t="str">
        <f>'Diccionario Datos - PostgreSQL'!C11</f>
        <v>nombre del usuario</v>
      </c>
      <c r="D11" s="11"/>
      <c r="E11" s="11"/>
      <c r="F11" s="12"/>
      <c r="G11" s="42" t="s">
        <v>156</v>
      </c>
      <c r="H11" s="11"/>
      <c r="I11" s="11"/>
      <c r="J11" s="12"/>
      <c r="K11" s="39">
        <f>'Diccionario Datos - PostgreSQL'!K11</f>
        <v>100</v>
      </c>
      <c r="L11" s="11"/>
      <c r="M11" s="11"/>
      <c r="N11" s="12"/>
      <c r="O11" s="39" t="str">
        <f>'Diccionario Datos - PostgreSQL'!O11</f>
        <v>no</v>
      </c>
      <c r="P11" s="11"/>
      <c r="Q11" s="12"/>
      <c r="R11" s="39"/>
      <c r="S11" s="12"/>
      <c r="T11" s="39"/>
      <c r="U11" s="12"/>
      <c r="V11" s="39"/>
      <c r="W11" s="12"/>
      <c r="X11" s="39" t="str">
        <f>'Diccionario Datos - PostgreSQL'!X11</f>
        <v/>
      </c>
      <c r="Y11" s="36"/>
    </row>
    <row r="12" ht="25.5" customHeight="1">
      <c r="A12" s="40">
        <v>3.0</v>
      </c>
      <c r="B12" s="38" t="str">
        <f>'Diccionario Datos - PostgreSQL'!B12</f>
        <v>correo</v>
      </c>
      <c r="C12" s="39" t="str">
        <f>'Diccionario Datos - PostgreSQL'!C12</f>
        <v>correo electronico</v>
      </c>
      <c r="D12" s="11"/>
      <c r="E12" s="11"/>
      <c r="F12" s="12"/>
      <c r="G12" s="42" t="s">
        <v>156</v>
      </c>
      <c r="H12" s="11"/>
      <c r="I12" s="11"/>
      <c r="J12" s="12"/>
      <c r="K12" s="39">
        <f>'Diccionario Datos - PostgreSQL'!K12</f>
        <v>100</v>
      </c>
      <c r="L12" s="11"/>
      <c r="M12" s="11"/>
      <c r="N12" s="12"/>
      <c r="O12" s="39" t="str">
        <f>'Diccionario Datos - PostgreSQL'!O12</f>
        <v>no</v>
      </c>
      <c r="P12" s="11"/>
      <c r="Q12" s="12"/>
      <c r="R12" s="39"/>
      <c r="S12" s="12"/>
      <c r="T12" s="39"/>
      <c r="U12" s="12"/>
      <c r="V12" s="42" t="s">
        <v>187</v>
      </c>
      <c r="W12" s="12"/>
      <c r="X12" s="39" t="str">
        <f>'Diccionario Datos - PostgreSQL'!X12</f>
        <v>unico</v>
      </c>
      <c r="Y12" s="36"/>
    </row>
    <row r="13" ht="31.5" customHeight="1">
      <c r="A13" s="40">
        <v>4.0</v>
      </c>
      <c r="B13" s="38" t="str">
        <f>'Diccionario Datos - PostgreSQL'!B13</f>
        <v>id_rol</v>
      </c>
      <c r="C13" s="39" t="str">
        <f>'Diccionario Datos - PostgreSQL'!C13</f>
        <v>rol asignado</v>
      </c>
      <c r="D13" s="11"/>
      <c r="E13" s="11"/>
      <c r="F13" s="12"/>
      <c r="G13" s="42" t="s">
        <v>165</v>
      </c>
      <c r="H13" s="11"/>
      <c r="I13" s="11"/>
      <c r="J13" s="12"/>
      <c r="K13" s="39" t="str">
        <f>'Diccionario Datos - PostgreSQL'!K13</f>
        <v/>
      </c>
      <c r="L13" s="11"/>
      <c r="M13" s="11"/>
      <c r="N13" s="12"/>
      <c r="O13" s="39" t="str">
        <f>'Diccionario Datos - PostgreSQL'!O13</f>
        <v>no</v>
      </c>
      <c r="P13" s="11"/>
      <c r="Q13" s="12"/>
      <c r="R13" s="39"/>
      <c r="S13" s="12"/>
      <c r="T13" s="42" t="s">
        <v>187</v>
      </c>
      <c r="U13" s="12"/>
      <c r="V13" s="39"/>
      <c r="W13" s="12"/>
      <c r="X13" s="39" t="str">
        <f>'Diccionario Datos - PostgreSQL'!X13</f>
        <v>relacion con roles</v>
      </c>
      <c r="Y13" s="36"/>
    </row>
    <row r="14" ht="15.75" customHeight="1">
      <c r="A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ht="27.0" customHeight="1">
      <c r="A15" s="64">
        <f>'Diccionario Datos - PostgreSQL'!A15</f>
        <v>3</v>
      </c>
      <c r="B15" s="106" t="s">
        <v>88</v>
      </c>
      <c r="C15" s="85" t="str">
        <f>'Diccionario Datos - PostgreSQL'!C15</f>
        <v>apiario</v>
      </c>
      <c r="D15" s="86"/>
      <c r="E15" s="86"/>
      <c r="F15" s="87"/>
      <c r="G15" s="113" t="s">
        <v>89</v>
      </c>
      <c r="H15" s="28"/>
      <c r="I15" s="28"/>
      <c r="J15" s="29"/>
      <c r="K15" s="89" t="str">
        <f>'Diccionario Datos - PostgreSQL'!K15</f>
        <v>Ubicación de colmenas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7"/>
      <c r="X15" s="114" t="s">
        <v>138</v>
      </c>
      <c r="Y15" s="33">
        <v>2025.0</v>
      </c>
    </row>
    <row r="16" ht="35.25" customHeight="1">
      <c r="A16" s="108" t="s">
        <v>1</v>
      </c>
      <c r="B16" s="109" t="s">
        <v>139</v>
      </c>
      <c r="C16" s="110" t="s">
        <v>140</v>
      </c>
      <c r="D16" s="3"/>
      <c r="E16" s="3"/>
      <c r="F16" s="75"/>
      <c r="G16" s="111" t="s">
        <v>243</v>
      </c>
      <c r="H16" s="77"/>
      <c r="I16" s="77"/>
      <c r="J16" s="78"/>
      <c r="K16" s="110" t="s">
        <v>142</v>
      </c>
      <c r="L16" s="3"/>
      <c r="M16" s="3"/>
      <c r="N16" s="75"/>
      <c r="O16" s="110" t="s">
        <v>143</v>
      </c>
      <c r="P16" s="3"/>
      <c r="Q16" s="75"/>
      <c r="R16" s="115" t="s">
        <v>144</v>
      </c>
      <c r="S16" s="92"/>
      <c r="T16" s="115" t="s">
        <v>145</v>
      </c>
      <c r="U16" s="92"/>
      <c r="V16" s="110" t="s">
        <v>146</v>
      </c>
      <c r="W16" s="75"/>
      <c r="X16" s="116" t="s">
        <v>147</v>
      </c>
      <c r="Y16" s="94"/>
    </row>
    <row r="17" ht="25.5" customHeight="1">
      <c r="A17" s="40">
        <v>1.0</v>
      </c>
      <c r="B17" s="38" t="str">
        <f>'Diccionario Datos - PostgreSQL'!B17</f>
        <v>id_apiarios</v>
      </c>
      <c r="C17" s="95" t="str">
        <f>'Diccionario Datos - PostgreSQL'!C17</f>
        <v>identificador</v>
      </c>
      <c r="D17" s="96"/>
      <c r="E17" s="96"/>
      <c r="F17" s="97"/>
      <c r="G17" s="98" t="s">
        <v>245</v>
      </c>
      <c r="H17" s="96"/>
      <c r="I17" s="96"/>
      <c r="J17" s="97"/>
      <c r="K17" s="95" t="str">
        <f>'Diccionario Datos - PostgreSQL'!K17</f>
        <v/>
      </c>
      <c r="L17" s="96"/>
      <c r="M17" s="96"/>
      <c r="N17" s="97"/>
      <c r="O17" s="95" t="str">
        <f>'Diccionario Datos - PostgreSQL'!O17</f>
        <v>no</v>
      </c>
      <c r="P17" s="96"/>
      <c r="Q17" s="97"/>
      <c r="R17" s="42" t="s">
        <v>187</v>
      </c>
      <c r="S17" s="12"/>
      <c r="T17" s="39"/>
      <c r="U17" s="12"/>
      <c r="V17" s="98" t="s">
        <v>187</v>
      </c>
      <c r="W17" s="97"/>
      <c r="X17" s="39" t="str">
        <f>'Diccionario Datos - PostgreSQL'!X17</f>
        <v>clave primaria</v>
      </c>
      <c r="Y17" s="36"/>
    </row>
    <row r="18" ht="27.75" customHeight="1">
      <c r="A18" s="40">
        <v>2.0</v>
      </c>
      <c r="B18" s="38" t="str">
        <f>'Diccionario Datos - PostgreSQL'!B18</f>
        <v>ubicación</v>
      </c>
      <c r="C18" s="95" t="str">
        <f>'Diccionario Datos - PostgreSQL'!C18</f>
        <v>ubicación de apiario</v>
      </c>
      <c r="D18" s="96"/>
      <c r="E18" s="96"/>
      <c r="F18" s="97"/>
      <c r="G18" s="42" t="s">
        <v>156</v>
      </c>
      <c r="H18" s="11"/>
      <c r="I18" s="11"/>
      <c r="J18" s="12"/>
      <c r="K18" s="39">
        <f>'Diccionario Datos - PostgreSQL'!K18</f>
        <v>150</v>
      </c>
      <c r="L18" s="11"/>
      <c r="M18" s="11"/>
      <c r="N18" s="12"/>
      <c r="O18" s="39" t="str">
        <f>'Diccionario Datos - PostgreSQL'!O18</f>
        <v>no</v>
      </c>
      <c r="P18" s="11"/>
      <c r="Q18" s="12"/>
      <c r="R18" s="39"/>
      <c r="S18" s="12"/>
      <c r="T18" s="39"/>
      <c r="U18" s="12"/>
      <c r="V18" s="39"/>
      <c r="W18" s="12"/>
      <c r="X18" s="39" t="str">
        <f>'Diccionario Datos - PostgreSQL'!X18</f>
        <v/>
      </c>
      <c r="Y18" s="36"/>
    </row>
    <row r="19" ht="15.75" customHeight="1">
      <c r="A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ht="31.5" customHeight="1">
      <c r="A20" s="64">
        <f>'Diccionario Datos - PostgreSQL'!A20</f>
        <v>4</v>
      </c>
      <c r="B20" s="106" t="s">
        <v>88</v>
      </c>
      <c r="C20" s="85" t="str">
        <f>'Diccionario Datos - PostgreSQL'!C20</f>
        <v>colmena</v>
      </c>
      <c r="D20" s="86"/>
      <c r="E20" s="86"/>
      <c r="F20" s="87"/>
      <c r="G20" s="113" t="s">
        <v>89</v>
      </c>
      <c r="H20" s="28"/>
      <c r="I20" s="28"/>
      <c r="J20" s="29"/>
      <c r="K20" s="89" t="str">
        <f>'Diccionario Datos - PostgreSQL'!K20</f>
        <v>Registra colmenas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7"/>
      <c r="X20" s="114" t="s">
        <v>138</v>
      </c>
      <c r="Y20" s="33">
        <v>2025.0</v>
      </c>
    </row>
    <row r="21" ht="26.25" customHeight="1">
      <c r="A21" s="108" t="s">
        <v>1</v>
      </c>
      <c r="B21" s="109" t="s">
        <v>139</v>
      </c>
      <c r="C21" s="110" t="s">
        <v>140</v>
      </c>
      <c r="D21" s="3"/>
      <c r="E21" s="3"/>
      <c r="F21" s="75"/>
      <c r="G21" s="111" t="s">
        <v>243</v>
      </c>
      <c r="H21" s="77"/>
      <c r="I21" s="77"/>
      <c r="J21" s="78"/>
      <c r="K21" s="110" t="s">
        <v>142</v>
      </c>
      <c r="L21" s="3"/>
      <c r="M21" s="3"/>
      <c r="N21" s="75"/>
      <c r="O21" s="110" t="s">
        <v>143</v>
      </c>
      <c r="P21" s="3"/>
      <c r="Q21" s="75"/>
      <c r="R21" s="115" t="s">
        <v>144</v>
      </c>
      <c r="S21" s="92"/>
      <c r="T21" s="115" t="s">
        <v>145</v>
      </c>
      <c r="U21" s="92"/>
      <c r="V21" s="110" t="s">
        <v>146</v>
      </c>
      <c r="W21" s="75"/>
      <c r="X21" s="116" t="s">
        <v>147</v>
      </c>
      <c r="Y21" s="94"/>
    </row>
    <row r="22" ht="21.0" customHeight="1">
      <c r="A22" s="40">
        <v>1.0</v>
      </c>
      <c r="B22" s="38" t="str">
        <f>'Diccionario Datos - PostgreSQL'!B22</f>
        <v>id_colmenas</v>
      </c>
      <c r="C22" s="95" t="str">
        <f>'Diccionario Datos - PostgreSQL'!C22</f>
        <v>identificacion de usuario</v>
      </c>
      <c r="D22" s="96"/>
      <c r="E22" s="96"/>
      <c r="F22" s="97"/>
      <c r="G22" s="98" t="s">
        <v>245</v>
      </c>
      <c r="H22" s="96"/>
      <c r="I22" s="96"/>
      <c r="J22" s="97"/>
      <c r="K22" s="95" t="str">
        <f>'Diccionario Datos - PostgreSQL'!K22</f>
        <v/>
      </c>
      <c r="L22" s="96"/>
      <c r="M22" s="96"/>
      <c r="N22" s="97"/>
      <c r="O22" s="95" t="str">
        <f>'Diccionario Datos - PostgreSQL'!O22</f>
        <v>no</v>
      </c>
      <c r="P22" s="96"/>
      <c r="Q22" s="97"/>
      <c r="R22" s="42" t="s">
        <v>187</v>
      </c>
      <c r="S22" s="12"/>
      <c r="T22" s="39"/>
      <c r="U22" s="12"/>
      <c r="V22" s="98" t="s">
        <v>187</v>
      </c>
      <c r="W22" s="97"/>
      <c r="X22" s="39" t="str">
        <f>'Diccionario Datos - PostgreSQL'!X22</f>
        <v>clave primaria</v>
      </c>
      <c r="Y22" s="36"/>
    </row>
    <row r="23" ht="30.75" customHeight="1">
      <c r="A23" s="99">
        <v>2.0</v>
      </c>
      <c r="B23" s="38" t="str">
        <f>'Diccionario Datos - PostgreSQL'!B23</f>
        <v>id_apiarios</v>
      </c>
      <c r="C23" s="95" t="str">
        <f>'Diccionario Datos - PostgreSQL'!C23</f>
        <v>nombre del usuario</v>
      </c>
      <c r="D23" s="96"/>
      <c r="E23" s="96"/>
      <c r="F23" s="97"/>
      <c r="G23" s="98" t="s">
        <v>165</v>
      </c>
      <c r="H23" s="96"/>
      <c r="I23" s="96"/>
      <c r="J23" s="97"/>
      <c r="K23" s="95"/>
      <c r="L23" s="96"/>
      <c r="M23" s="96"/>
      <c r="N23" s="97"/>
      <c r="O23" s="95" t="str">
        <f>'Diccionario Datos - PostgreSQL'!O23</f>
        <v>no</v>
      </c>
      <c r="P23" s="96"/>
      <c r="Q23" s="97"/>
      <c r="R23" s="42"/>
      <c r="S23" s="12"/>
      <c r="T23" s="42" t="s">
        <v>187</v>
      </c>
      <c r="U23" s="12"/>
      <c r="V23" s="98"/>
      <c r="W23" s="97"/>
      <c r="X23" s="39" t="str">
        <f>'Diccionario Datos - PostgreSQL'!X23</f>
        <v>Relacion con apiarios</v>
      </c>
      <c r="Y23" s="36"/>
    </row>
    <row r="24" ht="30.0" customHeight="1">
      <c r="A24" s="99">
        <v>3.0</v>
      </c>
      <c r="B24" s="38" t="str">
        <f>'Diccionario Datos - PostgreSQL'!B24</f>
        <v>estado</v>
      </c>
      <c r="C24" s="95" t="str">
        <f>'Diccionario Datos - PostgreSQL'!C24</f>
        <v>correo electronico</v>
      </c>
      <c r="D24" s="96"/>
      <c r="E24" s="96"/>
      <c r="F24" s="97"/>
      <c r="G24" s="98" t="s">
        <v>156</v>
      </c>
      <c r="H24" s="96"/>
      <c r="I24" s="96"/>
      <c r="J24" s="97"/>
      <c r="K24" s="42">
        <v>50.0</v>
      </c>
      <c r="L24" s="11"/>
      <c r="M24" s="11"/>
      <c r="N24" s="12"/>
      <c r="O24" s="95" t="str">
        <f>'Diccionario Datos - PostgreSQL'!O24</f>
        <v>si</v>
      </c>
      <c r="P24" s="96"/>
      <c r="Q24" s="97"/>
      <c r="R24" s="42"/>
      <c r="S24" s="12"/>
      <c r="T24" s="39"/>
      <c r="U24" s="12"/>
      <c r="V24" s="39"/>
      <c r="W24" s="12"/>
      <c r="X24" s="39" t="str">
        <f>'Diccionario Datos - PostgreSQL'!X24</f>
        <v/>
      </c>
      <c r="Y24" s="36"/>
    </row>
    <row r="25" ht="15.75" customHeight="1">
      <c r="A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ht="33.75" customHeight="1">
      <c r="A26" s="64">
        <f>'Diccionario Datos - PostgreSQL'!A27</f>
        <v>5</v>
      </c>
      <c r="B26" s="106" t="s">
        <v>88</v>
      </c>
      <c r="C26" s="85" t="str">
        <f>'Diccionario Datos - PostgreSQL'!C27</f>
        <v>sensor_iot</v>
      </c>
      <c r="D26" s="86"/>
      <c r="E26" s="86"/>
      <c r="F26" s="87"/>
      <c r="G26" s="113" t="s">
        <v>89</v>
      </c>
      <c r="H26" s="28"/>
      <c r="I26" s="28"/>
      <c r="J26" s="29"/>
      <c r="K26" s="89" t="str">
        <f>'Diccionario Datos - PostgreSQL'!K27</f>
        <v>sensores instalados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7"/>
      <c r="X26" s="114" t="s">
        <v>138</v>
      </c>
      <c r="Y26" s="33">
        <v>2025.0</v>
      </c>
    </row>
    <row r="27" ht="46.5" customHeight="1">
      <c r="A27" s="108" t="s">
        <v>1</v>
      </c>
      <c r="B27" s="109" t="s">
        <v>139</v>
      </c>
      <c r="C27" s="110" t="s">
        <v>140</v>
      </c>
      <c r="D27" s="3"/>
      <c r="E27" s="3"/>
      <c r="F27" s="75"/>
      <c r="G27" s="111" t="s">
        <v>243</v>
      </c>
      <c r="H27" s="77"/>
      <c r="I27" s="77"/>
      <c r="J27" s="78"/>
      <c r="K27" s="110" t="s">
        <v>142</v>
      </c>
      <c r="L27" s="3"/>
      <c r="M27" s="3"/>
      <c r="N27" s="75"/>
      <c r="O27" s="110" t="s">
        <v>143</v>
      </c>
      <c r="P27" s="3"/>
      <c r="Q27" s="75"/>
      <c r="R27" s="115" t="s">
        <v>144</v>
      </c>
      <c r="S27" s="92"/>
      <c r="T27" s="115" t="s">
        <v>145</v>
      </c>
      <c r="U27" s="92"/>
      <c r="V27" s="110" t="s">
        <v>146</v>
      </c>
      <c r="W27" s="75"/>
      <c r="X27" s="116" t="s">
        <v>147</v>
      </c>
      <c r="Y27" s="94"/>
    </row>
    <row r="28" ht="34.5" customHeight="1">
      <c r="A28" s="40">
        <v>1.0</v>
      </c>
      <c r="B28" s="38" t="str">
        <f>'Diccionario Datos - PostgreSQL'!B29</f>
        <v>id_sensor</v>
      </c>
      <c r="C28" s="95" t="str">
        <f>'Diccionario Datos - PostgreSQL'!C29</f>
        <v>identificador</v>
      </c>
      <c r="D28" s="96"/>
      <c r="E28" s="96"/>
      <c r="F28" s="97"/>
      <c r="G28" s="98" t="s">
        <v>245</v>
      </c>
      <c r="H28" s="96"/>
      <c r="I28" s="96"/>
      <c r="J28" s="97"/>
      <c r="K28" s="95"/>
      <c r="L28" s="96"/>
      <c r="M28" s="96"/>
      <c r="N28" s="97"/>
      <c r="O28" s="98" t="s">
        <v>151</v>
      </c>
      <c r="P28" s="96"/>
      <c r="Q28" s="97"/>
      <c r="R28" s="42" t="s">
        <v>152</v>
      </c>
      <c r="S28" s="12"/>
      <c r="T28" s="39"/>
      <c r="U28" s="12"/>
      <c r="V28" s="98" t="s">
        <v>187</v>
      </c>
      <c r="W28" s="97"/>
      <c r="X28" s="39" t="str">
        <f>'Diccionario Datos - PostgreSQL'!X29</f>
        <v>clave primaria</v>
      </c>
      <c r="Y28" s="36"/>
    </row>
    <row r="29" ht="30.75" customHeight="1">
      <c r="A29" s="99">
        <v>2.0</v>
      </c>
      <c r="B29" s="38" t="str">
        <f>'Diccionario Datos - PostgreSQL'!B30</f>
        <v>id_colmena</v>
      </c>
      <c r="C29" s="95" t="str">
        <f>'Diccionario Datos - PostgreSQL'!C30</f>
        <v>colmena asociada</v>
      </c>
      <c r="D29" s="96"/>
      <c r="E29" s="96"/>
      <c r="F29" s="97"/>
      <c r="G29" s="98" t="s">
        <v>165</v>
      </c>
      <c r="H29" s="96"/>
      <c r="I29" s="96"/>
      <c r="J29" s="97"/>
      <c r="K29" s="95"/>
      <c r="L29" s="96"/>
      <c r="M29" s="96"/>
      <c r="N29" s="97"/>
      <c r="O29" s="95" t="str">
        <f>'Diccionario Datos - PostgreSQL'!O29</f>
        <v>no</v>
      </c>
      <c r="P29" s="96"/>
      <c r="Q29" s="97"/>
      <c r="R29" s="42"/>
      <c r="S29" s="12"/>
      <c r="T29" s="42" t="s">
        <v>187</v>
      </c>
      <c r="U29" s="12"/>
      <c r="V29" s="98"/>
      <c r="W29" s="97"/>
      <c r="X29" s="39" t="str">
        <f>'Diccionario Datos - PostgreSQL'!X30</f>
        <v>relacion con colmenas</v>
      </c>
      <c r="Y29" s="36"/>
    </row>
    <row r="30" ht="37.5" customHeight="1">
      <c r="A30" s="99">
        <v>3.0</v>
      </c>
      <c r="B30" s="38" t="str">
        <f>'Diccionario Datos - PostgreSQL'!B31</f>
        <v>tipo</v>
      </c>
      <c r="C30" s="95" t="str">
        <f>'Diccionario Datos - PostgreSQL'!C31</f>
        <v>tipo de sensor</v>
      </c>
      <c r="D30" s="96"/>
      <c r="E30" s="96"/>
      <c r="F30" s="97"/>
      <c r="G30" s="98" t="s">
        <v>156</v>
      </c>
      <c r="H30" s="96"/>
      <c r="I30" s="96"/>
      <c r="J30" s="97"/>
      <c r="K30" s="42">
        <v>50.0</v>
      </c>
      <c r="L30" s="11"/>
      <c r="M30" s="11"/>
      <c r="N30" s="12"/>
      <c r="O30" s="95" t="str">
        <f>'Diccionario Datos - PostgreSQL'!O30</f>
        <v>no</v>
      </c>
      <c r="P30" s="96"/>
      <c r="Q30" s="97"/>
      <c r="R30" s="42"/>
      <c r="S30" s="12"/>
      <c r="T30" s="39"/>
      <c r="U30" s="12"/>
      <c r="V30" s="39"/>
      <c r="W30" s="12"/>
      <c r="X30" s="39" t="str">
        <f>'Diccionario Datos - PostgreSQL'!X31</f>
        <v/>
      </c>
      <c r="Y30" s="36"/>
    </row>
    <row r="31" ht="15.75" customHeight="1">
      <c r="A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ht="35.25" customHeight="1">
      <c r="A32" s="64">
        <f>'Diccionario Datos - PostgreSQL'!A35</f>
        <v>6</v>
      </c>
      <c r="B32" s="106" t="s">
        <v>88</v>
      </c>
      <c r="C32" s="85" t="str">
        <f>'Diccionario Datos - PostgreSQL'!C35</f>
        <v>dato_sensor</v>
      </c>
      <c r="D32" s="86"/>
      <c r="E32" s="86"/>
      <c r="F32" s="87"/>
      <c r="G32" s="113" t="s">
        <v>89</v>
      </c>
      <c r="H32" s="28"/>
      <c r="I32" s="28"/>
      <c r="J32" s="29"/>
      <c r="K32" s="89" t="str">
        <f>'Diccionario Datos - PostgreSQL'!K35</f>
        <v>Registros de sensores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7"/>
      <c r="X32" s="114" t="s">
        <v>138</v>
      </c>
      <c r="Y32" s="33">
        <v>2025.0</v>
      </c>
    </row>
    <row r="33" ht="27.0" customHeight="1">
      <c r="A33" s="108" t="s">
        <v>1</v>
      </c>
      <c r="B33" s="109" t="s">
        <v>139</v>
      </c>
      <c r="C33" s="110" t="s">
        <v>140</v>
      </c>
      <c r="D33" s="3"/>
      <c r="E33" s="3"/>
      <c r="F33" s="75"/>
      <c r="G33" s="111" t="s">
        <v>243</v>
      </c>
      <c r="H33" s="77"/>
      <c r="I33" s="77"/>
      <c r="J33" s="78"/>
      <c r="K33" s="110" t="s">
        <v>142</v>
      </c>
      <c r="L33" s="3"/>
      <c r="M33" s="3"/>
      <c r="N33" s="75"/>
      <c r="O33" s="110" t="s">
        <v>143</v>
      </c>
      <c r="P33" s="3"/>
      <c r="Q33" s="75"/>
      <c r="R33" s="115" t="s">
        <v>144</v>
      </c>
      <c r="S33" s="92"/>
      <c r="T33" s="115" t="s">
        <v>145</v>
      </c>
      <c r="U33" s="92"/>
      <c r="V33" s="110" t="s">
        <v>146</v>
      </c>
      <c r="W33" s="75"/>
      <c r="X33" s="116" t="s">
        <v>147</v>
      </c>
      <c r="Y33" s="94"/>
    </row>
    <row r="34" ht="31.5" customHeight="1">
      <c r="A34" s="40">
        <v>1.0</v>
      </c>
      <c r="B34" s="38" t="str">
        <f>'Diccionario Datos - PostgreSQL'!B37</f>
        <v>id_dato</v>
      </c>
      <c r="C34" s="95" t="str">
        <f>'Diccionario Datos - PostgreSQL'!C37</f>
        <v>identificador del dato</v>
      </c>
      <c r="D34" s="96"/>
      <c r="E34" s="96"/>
      <c r="F34" s="97"/>
      <c r="G34" s="98" t="s">
        <v>245</v>
      </c>
      <c r="H34" s="96"/>
      <c r="I34" s="96"/>
      <c r="J34" s="97"/>
      <c r="K34" s="95" t="str">
        <f>'Diccionario Datos - PostgreSQL'!K37</f>
        <v/>
      </c>
      <c r="L34" s="96"/>
      <c r="M34" s="96"/>
      <c r="N34" s="97"/>
      <c r="O34" s="98" t="str">
        <f>'Diccionario Datos - PostgreSQL'!O37</f>
        <v>no</v>
      </c>
      <c r="P34" s="96"/>
      <c r="Q34" s="97"/>
      <c r="R34" s="42" t="s">
        <v>152</v>
      </c>
      <c r="S34" s="12"/>
      <c r="T34" s="39"/>
      <c r="U34" s="12"/>
      <c r="V34" s="98" t="s">
        <v>187</v>
      </c>
      <c r="W34" s="97"/>
      <c r="X34" s="39" t="str">
        <f>'Diccionario Datos - PostgreSQL'!X37</f>
        <v>clave primaria</v>
      </c>
      <c r="Y34" s="36"/>
    </row>
    <row r="35" ht="33.75" customHeight="1">
      <c r="A35" s="99">
        <v>2.0</v>
      </c>
      <c r="B35" s="38" t="str">
        <f>'Diccionario Datos - PostgreSQL'!B38</f>
        <v>id_sensor</v>
      </c>
      <c r="C35" s="95" t="str">
        <f>'Diccionario Datos - PostgreSQL'!C38</f>
        <v>sensor asociado</v>
      </c>
      <c r="D35" s="96"/>
      <c r="E35" s="96"/>
      <c r="F35" s="97"/>
      <c r="G35" s="98" t="s">
        <v>165</v>
      </c>
      <c r="H35" s="96"/>
      <c r="I35" s="96"/>
      <c r="J35" s="97"/>
      <c r="K35" s="95" t="str">
        <f>'Diccionario Datos - PostgreSQL'!K38</f>
        <v/>
      </c>
      <c r="L35" s="96"/>
      <c r="M35" s="96"/>
      <c r="N35" s="97"/>
      <c r="O35" s="98" t="str">
        <f>'Diccionario Datos - PostgreSQL'!O38</f>
        <v>no</v>
      </c>
      <c r="P35" s="96"/>
      <c r="Q35" s="97"/>
      <c r="R35" s="42"/>
      <c r="S35" s="12"/>
      <c r="T35" s="42" t="s">
        <v>187</v>
      </c>
      <c r="U35" s="12"/>
      <c r="V35" s="98"/>
      <c r="W35" s="97"/>
      <c r="X35" s="39" t="str">
        <f>'Diccionario Datos - PostgreSQL'!X38</f>
        <v>Relacion con sensores</v>
      </c>
      <c r="Y35" s="36"/>
    </row>
    <row r="36" ht="26.25" customHeight="1">
      <c r="A36" s="99">
        <v>3.0</v>
      </c>
      <c r="B36" s="38" t="str">
        <f>'Diccionario Datos - PostgreSQL'!B39</f>
        <v>valor</v>
      </c>
      <c r="C36" s="95" t="str">
        <f>'Diccionario Datos - PostgreSQL'!C39</f>
        <v>valor medido</v>
      </c>
      <c r="D36" s="96"/>
      <c r="E36" s="96"/>
      <c r="F36" s="97"/>
      <c r="G36" s="98" t="s">
        <v>24</v>
      </c>
      <c r="H36" s="96"/>
      <c r="I36" s="96"/>
      <c r="J36" s="97"/>
      <c r="K36" s="95">
        <f>'Diccionario Datos - PostgreSQL'!K39</f>
        <v>10.2</v>
      </c>
      <c r="L36" s="96"/>
      <c r="M36" s="96"/>
      <c r="N36" s="97"/>
      <c r="O36" s="98" t="str">
        <f>'Diccionario Datos - PostgreSQL'!O39</f>
        <v>no</v>
      </c>
      <c r="P36" s="96"/>
      <c r="Q36" s="97"/>
      <c r="R36" s="42"/>
      <c r="S36" s="12"/>
      <c r="T36" s="39"/>
      <c r="U36" s="12"/>
      <c r="V36" s="39"/>
      <c r="W36" s="12"/>
      <c r="X36" s="39" t="str">
        <f>'Diccionario Datos - PostgreSQL'!X39</f>
        <v/>
      </c>
      <c r="Y36" s="36"/>
    </row>
    <row r="37" ht="35.25" customHeight="1">
      <c r="A37" s="99">
        <v>4.0</v>
      </c>
      <c r="B37" s="38" t="str">
        <f>'Diccionario Datos - PostgreSQL'!B40</f>
        <v>fecha</v>
      </c>
      <c r="C37" s="95" t="str">
        <f>'Diccionario Datos - PostgreSQL'!C40</f>
        <v>fecha del registro</v>
      </c>
      <c r="D37" s="96"/>
      <c r="E37" s="96"/>
      <c r="F37" s="97"/>
      <c r="G37" s="98" t="s">
        <v>246</v>
      </c>
      <c r="H37" s="96"/>
      <c r="I37" s="96"/>
      <c r="J37" s="97"/>
      <c r="K37" s="95" t="str">
        <f>'Diccionario Datos - PostgreSQL'!K40</f>
        <v/>
      </c>
      <c r="L37" s="96"/>
      <c r="M37" s="96"/>
      <c r="N37" s="97"/>
      <c r="O37" s="98" t="str">
        <f>'Diccionario Datos - PostgreSQL'!O40</f>
        <v>no</v>
      </c>
      <c r="P37" s="96"/>
      <c r="Q37" s="97"/>
      <c r="R37" s="42"/>
      <c r="S37" s="12"/>
      <c r="T37" s="39"/>
      <c r="U37" s="12"/>
      <c r="V37" s="39"/>
      <c r="W37" s="12"/>
      <c r="X37" s="39" t="str">
        <f>'Diccionario Datos - PostgreSQL'!X40</f>
        <v/>
      </c>
      <c r="Y37" s="36"/>
    </row>
    <row r="38" ht="15.75" customHeight="1"/>
    <row r="39" ht="43.5" customHeight="1">
      <c r="A39" s="64">
        <f>'Diccionario Datos - PostgreSQL'!A42</f>
        <v>7</v>
      </c>
      <c r="B39" s="106" t="s">
        <v>88</v>
      </c>
      <c r="C39" s="85" t="str">
        <f>'Diccionario Datos - PostgreSQL'!C40</f>
        <v>fecha del registro</v>
      </c>
      <c r="D39" s="86"/>
      <c r="E39" s="86"/>
      <c r="F39" s="87"/>
      <c r="G39" s="113" t="s">
        <v>89</v>
      </c>
      <c r="H39" s="28"/>
      <c r="I39" s="28"/>
      <c r="J39" s="29"/>
      <c r="K39" s="89" t="str">
        <f>'Diccionario Datos - PostgreSQL'!K42</f>
        <v>Productos apícolas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7"/>
      <c r="X39" s="114" t="s">
        <v>138</v>
      </c>
      <c r="Y39" s="33">
        <v>2025.0</v>
      </c>
    </row>
    <row r="40" ht="38.25" customHeight="1">
      <c r="A40" s="108" t="s">
        <v>1</v>
      </c>
      <c r="B40" s="109" t="s">
        <v>139</v>
      </c>
      <c r="C40" s="110" t="s">
        <v>140</v>
      </c>
      <c r="D40" s="3"/>
      <c r="E40" s="3"/>
      <c r="F40" s="75"/>
      <c r="G40" s="111" t="s">
        <v>243</v>
      </c>
      <c r="H40" s="77"/>
      <c r="I40" s="77"/>
      <c r="J40" s="78"/>
      <c r="K40" s="110" t="s">
        <v>142</v>
      </c>
      <c r="L40" s="3"/>
      <c r="M40" s="3"/>
      <c r="N40" s="75"/>
      <c r="O40" s="110" t="s">
        <v>143</v>
      </c>
      <c r="P40" s="3"/>
      <c r="Q40" s="75"/>
      <c r="R40" s="115" t="s">
        <v>144</v>
      </c>
      <c r="S40" s="92"/>
      <c r="T40" s="115" t="s">
        <v>145</v>
      </c>
      <c r="U40" s="92"/>
      <c r="V40" s="110" t="s">
        <v>146</v>
      </c>
      <c r="W40" s="75"/>
      <c r="X40" s="116" t="s">
        <v>147</v>
      </c>
      <c r="Y40" s="94"/>
    </row>
    <row r="41" ht="30.75" customHeight="1">
      <c r="A41" s="40">
        <v>1.0</v>
      </c>
      <c r="B41" s="38" t="str">
        <f>'Diccionario Datos - PostgreSQL'!B44</f>
        <v>id_producto</v>
      </c>
      <c r="C41" s="95" t="str">
        <f>'Diccionario Datos - PostgreSQL'!C44</f>
        <v>Identificador del producto</v>
      </c>
      <c r="D41" s="96"/>
      <c r="E41" s="96"/>
      <c r="F41" s="97"/>
      <c r="G41" s="98" t="s">
        <v>245</v>
      </c>
      <c r="H41" s="96"/>
      <c r="I41" s="96"/>
      <c r="J41" s="97"/>
      <c r="K41" s="95" t="str">
        <f>'Diccionario Datos - PostgreSQL'!K44</f>
        <v/>
      </c>
      <c r="L41" s="96"/>
      <c r="M41" s="96"/>
      <c r="N41" s="97"/>
      <c r="O41" s="98" t="str">
        <f>'Diccionario Datos - PostgreSQL'!O44</f>
        <v>no</v>
      </c>
      <c r="P41" s="96"/>
      <c r="Q41" s="97"/>
      <c r="R41" s="42" t="s">
        <v>152</v>
      </c>
      <c r="S41" s="12"/>
      <c r="T41" s="39"/>
      <c r="U41" s="12"/>
      <c r="V41" s="98" t="s">
        <v>187</v>
      </c>
      <c r="W41" s="97"/>
      <c r="X41" s="39" t="str">
        <f>'Diccionario Datos - PostgreSQL'!X44</f>
        <v>clave primaria</v>
      </c>
      <c r="Y41" s="36"/>
    </row>
    <row r="42" ht="27.0" customHeight="1">
      <c r="A42" s="99">
        <v>2.0</v>
      </c>
      <c r="B42" s="38" t="str">
        <f>'Diccionario Datos - PostgreSQL'!B45</f>
        <v>nombre</v>
      </c>
      <c r="C42" s="95" t="str">
        <f>'Diccionario Datos - PostgreSQL'!C45</f>
        <v>nombre del producto</v>
      </c>
      <c r="D42" s="96"/>
      <c r="E42" s="96"/>
      <c r="F42" s="97"/>
      <c r="G42" s="98" t="s">
        <v>156</v>
      </c>
      <c r="H42" s="96"/>
      <c r="I42" s="96"/>
      <c r="J42" s="97"/>
      <c r="K42" s="95">
        <f>'Diccionario Datos - PostgreSQL'!K45</f>
        <v>100</v>
      </c>
      <c r="L42" s="96"/>
      <c r="M42" s="96"/>
      <c r="N42" s="97"/>
      <c r="O42" s="98" t="str">
        <f>'Diccionario Datos - PostgreSQL'!O45</f>
        <v>no</v>
      </c>
      <c r="P42" s="96"/>
      <c r="Q42" s="97"/>
      <c r="R42" s="42"/>
      <c r="S42" s="12"/>
      <c r="T42" s="39"/>
      <c r="U42" s="12"/>
      <c r="V42" s="98"/>
      <c r="W42" s="97"/>
      <c r="X42" s="39" t="str">
        <f>'Diccionario Datos - PostgreSQL'!X45</f>
        <v/>
      </c>
      <c r="Y42" s="36"/>
    </row>
    <row r="43" ht="24.75" customHeight="1">
      <c r="A43" s="99">
        <v>3.0</v>
      </c>
      <c r="B43" s="38" t="str">
        <f>'Diccionario Datos - PostgreSQL'!B46</f>
        <v>precio</v>
      </c>
      <c r="C43" s="95" t="str">
        <f>'Diccionario Datos - PostgreSQL'!C46</f>
        <v>precio</v>
      </c>
      <c r="D43" s="96"/>
      <c r="E43" s="96"/>
      <c r="F43" s="97"/>
      <c r="G43" s="98" t="s">
        <v>24</v>
      </c>
      <c r="H43" s="96"/>
      <c r="I43" s="96"/>
      <c r="J43" s="97"/>
      <c r="K43" s="95">
        <f>'Diccionario Datos - PostgreSQL'!K46</f>
        <v>10.2</v>
      </c>
      <c r="L43" s="96"/>
      <c r="M43" s="96"/>
      <c r="N43" s="97"/>
      <c r="O43" s="98" t="str">
        <f>'Diccionario Datos - PostgreSQL'!O46</f>
        <v>no</v>
      </c>
      <c r="P43" s="96"/>
      <c r="Q43" s="97"/>
      <c r="R43" s="42"/>
      <c r="S43" s="12"/>
      <c r="T43" s="39"/>
      <c r="U43" s="12"/>
      <c r="V43" s="39"/>
      <c r="W43" s="12"/>
      <c r="X43" s="39" t="str">
        <f>'Diccionario Datos - PostgreSQL'!X46</f>
        <v/>
      </c>
      <c r="Y43" s="36"/>
    </row>
    <row r="44" ht="15.75" customHeight="1"/>
    <row r="45" ht="27.75" customHeight="1">
      <c r="A45" s="64">
        <f>'Diccionario Datos - PostgreSQL'!A48</f>
        <v>8</v>
      </c>
      <c r="B45" s="106" t="s">
        <v>88</v>
      </c>
      <c r="C45" s="85" t="str">
        <f>'Diccionario Datos - PostgreSQL'!C48</f>
        <v>pedido</v>
      </c>
      <c r="D45" s="86"/>
      <c r="E45" s="86"/>
      <c r="F45" s="87"/>
      <c r="G45" s="113" t="s">
        <v>89</v>
      </c>
      <c r="H45" s="28"/>
      <c r="I45" s="28"/>
      <c r="J45" s="29"/>
      <c r="K45" s="89" t="str">
        <f>'Diccionario Datos - PostgreSQL'!K48</f>
        <v>Ordenes de compra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7"/>
      <c r="X45" s="114" t="s">
        <v>138</v>
      </c>
      <c r="Y45" s="33">
        <v>2025.0</v>
      </c>
    </row>
    <row r="46" ht="26.25" customHeight="1">
      <c r="A46" s="108" t="s">
        <v>1</v>
      </c>
      <c r="B46" s="109" t="s">
        <v>139</v>
      </c>
      <c r="C46" s="110" t="s">
        <v>140</v>
      </c>
      <c r="D46" s="3"/>
      <c r="E46" s="3"/>
      <c r="F46" s="75"/>
      <c r="G46" s="111" t="s">
        <v>243</v>
      </c>
      <c r="H46" s="77"/>
      <c r="I46" s="77"/>
      <c r="J46" s="78"/>
      <c r="K46" s="110" t="s">
        <v>142</v>
      </c>
      <c r="L46" s="3"/>
      <c r="M46" s="3"/>
      <c r="N46" s="75"/>
      <c r="O46" s="110" t="s">
        <v>143</v>
      </c>
      <c r="P46" s="3"/>
      <c r="Q46" s="75"/>
      <c r="R46" s="115" t="s">
        <v>144</v>
      </c>
      <c r="S46" s="92"/>
      <c r="T46" s="115" t="s">
        <v>145</v>
      </c>
      <c r="U46" s="92"/>
      <c r="V46" s="110" t="s">
        <v>146</v>
      </c>
      <c r="W46" s="75"/>
      <c r="X46" s="116" t="s">
        <v>147</v>
      </c>
      <c r="Y46" s="94"/>
    </row>
    <row r="47" ht="22.5" customHeight="1">
      <c r="A47" s="40">
        <v>1.0</v>
      </c>
      <c r="B47" s="38" t="str">
        <f>'Diccionario Datos - PostgreSQL'!B50</f>
        <v>id_pedido</v>
      </c>
      <c r="C47" s="95" t="str">
        <f>'Diccionario Datos - PostgreSQL'!C50</f>
        <v>identificador del pedido</v>
      </c>
      <c r="D47" s="96"/>
      <c r="E47" s="96"/>
      <c r="F47" s="97"/>
      <c r="G47" s="98" t="s">
        <v>245</v>
      </c>
      <c r="H47" s="96"/>
      <c r="I47" s="96"/>
      <c r="J47" s="97"/>
      <c r="K47" s="95" t="str">
        <f>'Diccionario Datos - PostgreSQL'!K50</f>
        <v/>
      </c>
      <c r="L47" s="96"/>
      <c r="M47" s="96"/>
      <c r="N47" s="97"/>
      <c r="O47" s="98" t="str">
        <f>'Diccionario Datos - PostgreSQL'!O50</f>
        <v>no</v>
      </c>
      <c r="P47" s="96"/>
      <c r="Q47" s="97"/>
      <c r="R47" s="42" t="s">
        <v>152</v>
      </c>
      <c r="S47" s="12"/>
      <c r="T47" s="39"/>
      <c r="U47" s="12"/>
      <c r="V47" s="98" t="s">
        <v>187</v>
      </c>
      <c r="W47" s="97"/>
      <c r="X47" s="39" t="str">
        <f>'Diccionario Datos - PostgreSQL'!X50</f>
        <v>clave primaria</v>
      </c>
      <c r="Y47" s="36"/>
    </row>
    <row r="48" ht="31.5" customHeight="1">
      <c r="A48" s="99">
        <v>2.0</v>
      </c>
      <c r="B48" s="38" t="str">
        <f>'Diccionario Datos - PostgreSQL'!B51</f>
        <v>fecha</v>
      </c>
      <c r="C48" s="95" t="str">
        <f>'Diccionario Datos - PostgreSQL'!C51</f>
        <v>fecha del pedido</v>
      </c>
      <c r="D48" s="96"/>
      <c r="E48" s="96"/>
      <c r="F48" s="97"/>
      <c r="G48" s="98" t="s">
        <v>43</v>
      </c>
      <c r="H48" s="96"/>
      <c r="I48" s="96"/>
      <c r="J48" s="97"/>
      <c r="K48" s="95" t="str">
        <f>'Diccionario Datos - PostgreSQL'!K51</f>
        <v/>
      </c>
      <c r="L48" s="96"/>
      <c r="M48" s="96"/>
      <c r="N48" s="97"/>
      <c r="O48" s="98" t="str">
        <f>'Diccionario Datos - PostgreSQL'!O51</f>
        <v>no</v>
      </c>
      <c r="P48" s="96"/>
      <c r="Q48" s="97"/>
      <c r="R48" s="42"/>
      <c r="S48" s="12"/>
      <c r="T48" s="42"/>
      <c r="U48" s="12"/>
      <c r="V48" s="98"/>
      <c r="W48" s="97"/>
      <c r="X48" s="39" t="str">
        <f>'Diccionario Datos - PostgreSQL'!X51</f>
        <v/>
      </c>
      <c r="Y48" s="36"/>
    </row>
    <row r="49" ht="15.75" customHeight="1"/>
    <row r="50" ht="34.5" customHeight="1">
      <c r="A50" s="64">
        <f>'Diccionario Datos - PostgreSQL'!A53</f>
        <v>9</v>
      </c>
      <c r="B50" s="106" t="s">
        <v>88</v>
      </c>
      <c r="C50" s="85" t="str">
        <f>'Diccionario Datos - PostgreSQL'!C53</f>
        <v>detalle_pedido</v>
      </c>
      <c r="D50" s="86"/>
      <c r="E50" s="86"/>
      <c r="F50" s="87"/>
      <c r="G50" s="113" t="s">
        <v>89</v>
      </c>
      <c r="H50" s="28"/>
      <c r="I50" s="28"/>
      <c r="J50" s="29"/>
      <c r="K50" s="89" t="str">
        <f>'Diccionario Datos - PostgreSQL'!K53</f>
        <v>Detalle de productos por pedido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7"/>
      <c r="X50" s="114" t="s">
        <v>138</v>
      </c>
      <c r="Y50" s="33">
        <v>2025.0</v>
      </c>
    </row>
    <row r="51" ht="24.0" customHeight="1">
      <c r="A51" s="108" t="s">
        <v>1</v>
      </c>
      <c r="B51" s="109" t="s">
        <v>139</v>
      </c>
      <c r="C51" s="110" t="s">
        <v>140</v>
      </c>
      <c r="D51" s="3"/>
      <c r="E51" s="3"/>
      <c r="F51" s="75"/>
      <c r="G51" s="111" t="s">
        <v>243</v>
      </c>
      <c r="H51" s="77"/>
      <c r="I51" s="77"/>
      <c r="J51" s="78"/>
      <c r="K51" s="110" t="s">
        <v>142</v>
      </c>
      <c r="L51" s="3"/>
      <c r="M51" s="3"/>
      <c r="N51" s="75"/>
      <c r="O51" s="110" t="s">
        <v>143</v>
      </c>
      <c r="P51" s="3"/>
      <c r="Q51" s="75"/>
      <c r="R51" s="115" t="s">
        <v>144</v>
      </c>
      <c r="S51" s="92"/>
      <c r="T51" s="115" t="s">
        <v>145</v>
      </c>
      <c r="U51" s="92"/>
      <c r="V51" s="110" t="s">
        <v>146</v>
      </c>
      <c r="W51" s="75"/>
      <c r="X51" s="116" t="s">
        <v>147</v>
      </c>
      <c r="Y51" s="94"/>
    </row>
    <row r="52" ht="27.0" customHeight="1">
      <c r="A52" s="40">
        <v>1.0</v>
      </c>
      <c r="B52" s="38" t="str">
        <f>'Diccionario Datos - PostgreSQL'!B55</f>
        <v>id_detalles</v>
      </c>
      <c r="C52" s="95" t="str">
        <f>'Diccionario Datos - PostgreSQL'!C55</f>
        <v>identificador de detalles</v>
      </c>
      <c r="D52" s="96"/>
      <c r="E52" s="96"/>
      <c r="F52" s="97"/>
      <c r="G52" s="98" t="s">
        <v>245</v>
      </c>
      <c r="H52" s="96"/>
      <c r="I52" s="96"/>
      <c r="J52" s="97"/>
      <c r="K52" s="95" t="str">
        <f>'Diccionario Datos - PostgreSQL'!K55</f>
        <v/>
      </c>
      <c r="L52" s="96"/>
      <c r="M52" s="96"/>
      <c r="N52" s="97"/>
      <c r="O52" s="98" t="str">
        <f>'Diccionario Datos - PostgreSQL'!O55</f>
        <v>no</v>
      </c>
      <c r="P52" s="96"/>
      <c r="Q52" s="97"/>
      <c r="R52" s="42" t="s">
        <v>152</v>
      </c>
      <c r="S52" s="12"/>
      <c r="T52" s="39"/>
      <c r="U52" s="12"/>
      <c r="V52" s="98" t="s">
        <v>187</v>
      </c>
      <c r="W52" s="97"/>
      <c r="X52" s="39" t="str">
        <f>'Diccionario Datos - PostgreSQL'!X55</f>
        <v>clave primaria</v>
      </c>
      <c r="Y52" s="36"/>
    </row>
    <row r="53" ht="23.25" customHeight="1">
      <c r="A53" s="99">
        <v>2.0</v>
      </c>
      <c r="B53" s="38" t="str">
        <f>'Diccionario Datos - PostgreSQL'!B56</f>
        <v>id_pedido</v>
      </c>
      <c r="C53" s="95" t="str">
        <f>'Diccionario Datos - PostgreSQL'!C56</f>
        <v>pedido asociado</v>
      </c>
      <c r="D53" s="96"/>
      <c r="E53" s="96"/>
      <c r="F53" s="97"/>
      <c r="G53" s="98" t="s">
        <v>165</v>
      </c>
      <c r="H53" s="96"/>
      <c r="I53" s="96"/>
      <c r="J53" s="97"/>
      <c r="K53" s="95" t="str">
        <f>'Diccionario Datos - PostgreSQL'!K56</f>
        <v/>
      </c>
      <c r="L53" s="96"/>
      <c r="M53" s="96"/>
      <c r="N53" s="97"/>
      <c r="O53" s="98" t="str">
        <f>'Diccionario Datos - PostgreSQL'!O56</f>
        <v>no</v>
      </c>
      <c r="P53" s="96"/>
      <c r="Q53" s="97"/>
      <c r="R53" s="42"/>
      <c r="S53" s="12"/>
      <c r="T53" s="42" t="s">
        <v>187</v>
      </c>
      <c r="U53" s="12"/>
      <c r="V53" s="98"/>
      <c r="W53" s="97"/>
      <c r="X53" s="39" t="str">
        <f>'Diccionario Datos - PostgreSQL'!X56</f>
        <v>Relacion con pedidos</v>
      </c>
      <c r="Y53" s="36"/>
    </row>
    <row r="54" ht="26.25" customHeight="1">
      <c r="A54" s="99">
        <v>3.0</v>
      </c>
      <c r="B54" s="38" t="str">
        <f>'Diccionario Datos - PostgreSQL'!B57</f>
        <v>id_producto</v>
      </c>
      <c r="C54" s="95" t="str">
        <f>'Diccionario Datos - PostgreSQL'!C57</f>
        <v>producto asociado</v>
      </c>
      <c r="D54" s="96"/>
      <c r="E54" s="96"/>
      <c r="F54" s="97"/>
      <c r="G54" s="98" t="s">
        <v>165</v>
      </c>
      <c r="H54" s="96"/>
      <c r="I54" s="96"/>
      <c r="J54" s="97"/>
      <c r="K54" s="95" t="str">
        <f>'Diccionario Datos - PostgreSQL'!K57</f>
        <v/>
      </c>
      <c r="L54" s="96"/>
      <c r="M54" s="96"/>
      <c r="N54" s="97"/>
      <c r="O54" s="98" t="str">
        <f>'Diccionario Datos - PostgreSQL'!O57</f>
        <v>no</v>
      </c>
      <c r="P54" s="96"/>
      <c r="Q54" s="97"/>
      <c r="R54" s="42"/>
      <c r="S54" s="12"/>
      <c r="T54" s="42" t="s">
        <v>152</v>
      </c>
      <c r="U54" s="12"/>
      <c r="V54" s="39"/>
      <c r="W54" s="12"/>
      <c r="X54" s="39" t="str">
        <f>'Diccionario Datos - PostgreSQL'!X57</f>
        <v>Relacion con productos</v>
      </c>
      <c r="Y54" s="36"/>
    </row>
    <row r="55" ht="26.25" customHeight="1">
      <c r="A55" s="99">
        <v>4.0</v>
      </c>
      <c r="B55" s="38" t="str">
        <f>'Diccionario Datos - PostgreSQL'!B58</f>
        <v>cantidad</v>
      </c>
      <c r="C55" s="95" t="str">
        <f>'Diccionario Datos - PostgreSQL'!C58</f>
        <v>cantidad</v>
      </c>
      <c r="D55" s="96"/>
      <c r="E55" s="96"/>
      <c r="F55" s="97"/>
      <c r="G55" s="98" t="s">
        <v>165</v>
      </c>
      <c r="H55" s="96"/>
      <c r="I55" s="96"/>
      <c r="J55" s="97"/>
      <c r="K55" s="95" t="str">
        <f>'Diccionario Datos - PostgreSQL'!K58</f>
        <v/>
      </c>
      <c r="L55" s="96"/>
      <c r="M55" s="96"/>
      <c r="N55" s="97"/>
      <c r="O55" s="98" t="str">
        <f>'Diccionario Datos - PostgreSQL'!O58</f>
        <v>no</v>
      </c>
      <c r="P55" s="96"/>
      <c r="Q55" s="97"/>
      <c r="R55" s="42"/>
      <c r="S55" s="12"/>
      <c r="T55" s="39"/>
      <c r="U55" s="12"/>
      <c r="V55" s="39"/>
      <c r="W55" s="12"/>
      <c r="X55" s="39" t="str">
        <f>'Diccionario Datos - PostgreSQL'!X58</f>
        <v/>
      </c>
      <c r="Y55" s="36"/>
    </row>
    <row r="56" ht="15.75" customHeight="1"/>
    <row r="57" ht="28.5" customHeight="1">
      <c r="A57" s="64">
        <f>'Diccionario Datos - PostgreSQL'!A60</f>
        <v>10</v>
      </c>
      <c r="B57" s="106" t="s">
        <v>88</v>
      </c>
      <c r="C57" s="85" t="str">
        <f>'Diccionario Datos - PostgreSQL'!C60</f>
        <v>certificacion</v>
      </c>
      <c r="D57" s="86"/>
      <c r="E57" s="86"/>
      <c r="F57" s="87"/>
      <c r="G57" s="113" t="s">
        <v>89</v>
      </c>
      <c r="H57" s="28"/>
      <c r="I57" s="28"/>
      <c r="J57" s="29"/>
      <c r="K57" s="89" t="str">
        <f>'Diccionario Datos - PostgreSQL'!K60</f>
        <v>Certificaciones apícolas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7"/>
      <c r="X57" s="114" t="s">
        <v>138</v>
      </c>
      <c r="Y57" s="33">
        <v>2025.0</v>
      </c>
    </row>
    <row r="58" ht="27.75" customHeight="1">
      <c r="A58" s="108" t="s">
        <v>1</v>
      </c>
      <c r="B58" s="109" t="s">
        <v>139</v>
      </c>
      <c r="C58" s="110" t="s">
        <v>140</v>
      </c>
      <c r="D58" s="3"/>
      <c r="E58" s="3"/>
      <c r="F58" s="75"/>
      <c r="G58" s="111" t="s">
        <v>243</v>
      </c>
      <c r="H58" s="77"/>
      <c r="I58" s="77"/>
      <c r="J58" s="78"/>
      <c r="K58" s="110" t="s">
        <v>142</v>
      </c>
      <c r="L58" s="3"/>
      <c r="M58" s="3"/>
      <c r="N58" s="75"/>
      <c r="O58" s="110" t="s">
        <v>143</v>
      </c>
      <c r="P58" s="3"/>
      <c r="Q58" s="75"/>
      <c r="R58" s="115" t="s">
        <v>144</v>
      </c>
      <c r="S58" s="92"/>
      <c r="T58" s="115" t="s">
        <v>145</v>
      </c>
      <c r="U58" s="92"/>
      <c r="V58" s="110" t="s">
        <v>146</v>
      </c>
      <c r="W58" s="75"/>
      <c r="X58" s="116" t="s">
        <v>147</v>
      </c>
      <c r="Y58" s="94"/>
    </row>
    <row r="59" ht="23.25" customHeight="1">
      <c r="A59" s="40">
        <v>1.0</v>
      </c>
      <c r="B59" s="38" t="str">
        <f>'Diccionario Datos - PostgreSQL'!B62</f>
        <v>id_certificacion</v>
      </c>
      <c r="C59" s="95" t="str">
        <f>'Diccionario Datos - PostgreSQL'!C62</f>
        <v>Identificador</v>
      </c>
      <c r="D59" s="96"/>
      <c r="E59" s="96"/>
      <c r="F59" s="97"/>
      <c r="G59" s="98" t="s">
        <v>245</v>
      </c>
      <c r="H59" s="96"/>
      <c r="I59" s="96"/>
      <c r="J59" s="97"/>
      <c r="K59" s="95" t="str">
        <f>'Diccionario Datos - PostgreSQL'!K62</f>
        <v/>
      </c>
      <c r="L59" s="96"/>
      <c r="M59" s="96"/>
      <c r="N59" s="97"/>
      <c r="O59" s="98" t="str">
        <f>'Diccionario Datos - PostgreSQL'!O62</f>
        <v>no</v>
      </c>
      <c r="P59" s="96"/>
      <c r="Q59" s="97"/>
      <c r="R59" s="42" t="s">
        <v>152</v>
      </c>
      <c r="S59" s="12"/>
      <c r="T59" s="39"/>
      <c r="U59" s="12"/>
      <c r="V59" s="98" t="s">
        <v>187</v>
      </c>
      <c r="W59" s="97"/>
      <c r="X59" s="39" t="str">
        <f>'Diccionario Datos - PostgreSQL'!X62</f>
        <v>clave primaria</v>
      </c>
      <c r="Y59" s="36"/>
    </row>
    <row r="60" ht="27.0" customHeight="1">
      <c r="A60" s="99">
        <v>2.0</v>
      </c>
      <c r="B60" s="38" t="str">
        <f>'Diccionario Datos - PostgreSQL'!B63</f>
        <v>nombre</v>
      </c>
      <c r="C60" s="95" t="str">
        <f>'Diccionario Datos - PostgreSQL'!C63</f>
        <v>Nombre</v>
      </c>
      <c r="D60" s="96"/>
      <c r="E60" s="96"/>
      <c r="F60" s="97"/>
      <c r="G60" s="98" t="s">
        <v>156</v>
      </c>
      <c r="H60" s="96"/>
      <c r="I60" s="96"/>
      <c r="J60" s="97"/>
      <c r="K60" s="95">
        <f>'Diccionario Datos - PostgreSQL'!K63</f>
        <v>100</v>
      </c>
      <c r="L60" s="96"/>
      <c r="M60" s="96"/>
      <c r="N60" s="97"/>
      <c r="O60" s="98" t="str">
        <f>'Diccionario Datos - PostgreSQL'!O63</f>
        <v>no</v>
      </c>
      <c r="P60" s="96"/>
      <c r="Q60" s="97"/>
      <c r="R60" s="42"/>
      <c r="S60" s="12"/>
      <c r="T60" s="42"/>
      <c r="U60" s="12"/>
      <c r="V60" s="98"/>
      <c r="W60" s="97"/>
      <c r="X60" s="39" t="str">
        <f>'Diccionario Datos - PostgreSQL'!X63</f>
        <v/>
      </c>
      <c r="Y60" s="36"/>
    </row>
    <row r="61" ht="15.75" customHeight="1"/>
    <row r="62" ht="15.75" customHeight="1"/>
    <row r="63" ht="15.75" customHeight="1"/>
    <row r="64" ht="30.0" customHeight="1">
      <c r="A64" s="64">
        <f>'Diccionario Datos - PostgreSQL'!A67</f>
        <v>11</v>
      </c>
      <c r="B64" s="106" t="s">
        <v>88</v>
      </c>
      <c r="C64" s="85" t="str">
        <f>'Diccionario Datos - PostgreSQL'!C67</f>
        <v>usuario_apiario</v>
      </c>
      <c r="D64" s="86"/>
      <c r="E64" s="86"/>
      <c r="F64" s="87"/>
      <c r="G64" s="113" t="s">
        <v>89</v>
      </c>
      <c r="H64" s="28"/>
      <c r="I64" s="28"/>
      <c r="J64" s="29"/>
      <c r="K64" s="89" t="str">
        <f>'Diccionario Datos - PostgreSQL'!K67</f>
        <v>Relación entre usuarios y apiarios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7"/>
      <c r="X64" s="114" t="s">
        <v>138</v>
      </c>
      <c r="Y64" s="33">
        <v>2025.0</v>
      </c>
    </row>
    <row r="65" ht="24.75" customHeight="1">
      <c r="A65" s="108" t="s">
        <v>1</v>
      </c>
      <c r="B65" s="109" t="s">
        <v>139</v>
      </c>
      <c r="C65" s="110" t="s">
        <v>140</v>
      </c>
      <c r="D65" s="3"/>
      <c r="E65" s="3"/>
      <c r="F65" s="75"/>
      <c r="G65" s="111" t="s">
        <v>243</v>
      </c>
      <c r="H65" s="77"/>
      <c r="I65" s="77"/>
      <c r="J65" s="78"/>
      <c r="K65" s="110" t="s">
        <v>142</v>
      </c>
      <c r="L65" s="3"/>
      <c r="M65" s="3"/>
      <c r="N65" s="75"/>
      <c r="O65" s="110" t="s">
        <v>143</v>
      </c>
      <c r="P65" s="3"/>
      <c r="Q65" s="75"/>
      <c r="R65" s="115" t="s">
        <v>144</v>
      </c>
      <c r="S65" s="92"/>
      <c r="T65" s="115" t="s">
        <v>145</v>
      </c>
      <c r="U65" s="92"/>
      <c r="V65" s="110" t="s">
        <v>146</v>
      </c>
      <c r="W65" s="75"/>
      <c r="X65" s="116" t="s">
        <v>147</v>
      </c>
      <c r="Y65" s="94"/>
    </row>
    <row r="66" ht="28.5" customHeight="1">
      <c r="A66" s="40">
        <v>1.0</v>
      </c>
      <c r="B66" s="38" t="str">
        <f>'Diccionario Datos - PostgreSQL'!B69</f>
        <v>id_usuario</v>
      </c>
      <c r="C66" s="95" t="str">
        <f>'Diccionario Datos - PostgreSQL'!C69</f>
        <v>usuario</v>
      </c>
      <c r="D66" s="96"/>
      <c r="E66" s="96"/>
      <c r="F66" s="97"/>
      <c r="G66" s="98" t="s">
        <v>165</v>
      </c>
      <c r="H66" s="96"/>
      <c r="I66" s="96"/>
      <c r="J66" s="97"/>
      <c r="K66" s="95" t="str">
        <f>'Diccionario Datos - PostgreSQL'!K69</f>
        <v/>
      </c>
      <c r="L66" s="96"/>
      <c r="M66" s="96"/>
      <c r="N66" s="97"/>
      <c r="O66" s="98" t="str">
        <f>'Diccionario Datos - PostgreSQL'!O69</f>
        <v>no</v>
      </c>
      <c r="P66" s="96"/>
      <c r="Q66" s="97"/>
      <c r="R66" s="42" t="s">
        <v>152</v>
      </c>
      <c r="S66" s="12"/>
      <c r="T66" s="42" t="s">
        <v>187</v>
      </c>
      <c r="U66" s="12"/>
      <c r="V66" s="98"/>
      <c r="W66" s="97"/>
      <c r="X66" s="39" t="str">
        <f>'Diccionario Datos - PostgreSQL'!X69</f>
        <v>relacion con usuarios</v>
      </c>
      <c r="Y66" s="36"/>
    </row>
    <row r="67" ht="25.5" customHeight="1">
      <c r="A67" s="99">
        <v>2.0</v>
      </c>
      <c r="B67" s="38" t="str">
        <f>'Diccionario Datos - PostgreSQL'!B70</f>
        <v>id_apiario</v>
      </c>
      <c r="C67" s="95" t="str">
        <f>'Diccionario Datos - PostgreSQL'!C70</f>
        <v>apiario</v>
      </c>
      <c r="D67" s="96"/>
      <c r="E67" s="96"/>
      <c r="F67" s="97"/>
      <c r="G67" s="98" t="s">
        <v>165</v>
      </c>
      <c r="H67" s="96"/>
      <c r="I67" s="96"/>
      <c r="J67" s="97"/>
      <c r="K67" s="95" t="str">
        <f>'Diccionario Datos - PostgreSQL'!K70</f>
        <v/>
      </c>
      <c r="L67" s="96"/>
      <c r="M67" s="96"/>
      <c r="N67" s="97"/>
      <c r="O67" s="98" t="str">
        <f>'Diccionario Datos - PostgreSQL'!O70</f>
        <v>no</v>
      </c>
      <c r="P67" s="96"/>
      <c r="Q67" s="97"/>
      <c r="R67" s="42" t="s">
        <v>187</v>
      </c>
      <c r="S67" s="12"/>
      <c r="T67" s="42" t="s">
        <v>187</v>
      </c>
      <c r="U67" s="12"/>
      <c r="V67" s="98"/>
      <c r="W67" s="97"/>
      <c r="X67" s="39" t="str">
        <f>'Diccionario Datos - PostgreSQL'!X70</f>
        <v>relacion con apiarios</v>
      </c>
      <c r="Y67" s="36"/>
    </row>
    <row r="68" ht="15.75" customHeight="1"/>
    <row r="69" ht="15.75" customHeight="1"/>
    <row r="70" ht="15.75" customHeight="1"/>
    <row r="71" ht="54.75" customHeight="1">
      <c r="A71" s="64">
        <f>'Diccionario Datos - PostgreSQL'!A74</f>
        <v>12</v>
      </c>
      <c r="B71" s="106" t="s">
        <v>88</v>
      </c>
      <c r="C71" s="85" t="str">
        <f>'Diccionario Datos - PostgreSQL'!C74</f>
        <v>apiario_certificacion</v>
      </c>
      <c r="D71" s="86"/>
      <c r="E71" s="86"/>
      <c r="F71" s="87"/>
      <c r="G71" s="113" t="s">
        <v>89</v>
      </c>
      <c r="H71" s="28"/>
      <c r="I71" s="28"/>
      <c r="J71" s="29"/>
      <c r="K71" s="89" t="str">
        <f>'Diccionario Datos - PostgreSQL'!K74</f>
        <v>Relación entre productos y lotes de producción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7"/>
      <c r="X71" s="114" t="s">
        <v>138</v>
      </c>
      <c r="Y71" s="33">
        <v>2025.0</v>
      </c>
    </row>
    <row r="72" ht="33.0" customHeight="1">
      <c r="A72" s="108" t="s">
        <v>1</v>
      </c>
      <c r="B72" s="109" t="s">
        <v>139</v>
      </c>
      <c r="C72" s="110" t="s">
        <v>140</v>
      </c>
      <c r="D72" s="3"/>
      <c r="E72" s="3"/>
      <c r="F72" s="75"/>
      <c r="G72" s="111" t="s">
        <v>243</v>
      </c>
      <c r="H72" s="77"/>
      <c r="I72" s="77"/>
      <c r="J72" s="78"/>
      <c r="K72" s="110" t="s">
        <v>142</v>
      </c>
      <c r="L72" s="3"/>
      <c r="M72" s="3"/>
      <c r="N72" s="75"/>
      <c r="O72" s="110" t="s">
        <v>143</v>
      </c>
      <c r="P72" s="3"/>
      <c r="Q72" s="75"/>
      <c r="R72" s="115" t="s">
        <v>144</v>
      </c>
      <c r="S72" s="92"/>
      <c r="T72" s="115" t="s">
        <v>145</v>
      </c>
      <c r="U72" s="92"/>
      <c r="V72" s="110" t="s">
        <v>146</v>
      </c>
      <c r="W72" s="75"/>
      <c r="X72" s="116" t="s">
        <v>147</v>
      </c>
      <c r="Y72" s="94"/>
    </row>
    <row r="73" ht="33.75" customHeight="1">
      <c r="A73" s="40">
        <v>1.0</v>
      </c>
      <c r="B73" s="38" t="str">
        <f>'Diccionario Datos - PostgreSQL'!B76</f>
        <v>id_apiario</v>
      </c>
      <c r="C73" s="95" t="str">
        <f>'Diccionario Datos - PostgreSQL'!C76</f>
        <v>apiario</v>
      </c>
      <c r="D73" s="96"/>
      <c r="E73" s="96"/>
      <c r="F73" s="97"/>
      <c r="G73" s="98" t="s">
        <v>165</v>
      </c>
      <c r="H73" s="96"/>
      <c r="I73" s="96"/>
      <c r="J73" s="97"/>
      <c r="K73" s="95" t="str">
        <f>'Diccionario Datos - PostgreSQL'!K76</f>
        <v/>
      </c>
      <c r="L73" s="96"/>
      <c r="M73" s="96"/>
      <c r="N73" s="97"/>
      <c r="O73" s="98" t="str">
        <f>'Diccionario Datos - PostgreSQL'!O76</f>
        <v>no</v>
      </c>
      <c r="P73" s="96"/>
      <c r="Q73" s="97"/>
      <c r="R73" s="42" t="s">
        <v>152</v>
      </c>
      <c r="S73" s="12"/>
      <c r="T73" s="42" t="s">
        <v>187</v>
      </c>
      <c r="U73" s="12"/>
      <c r="V73" s="98" t="s">
        <v>187</v>
      </c>
      <c r="W73" s="97"/>
      <c r="X73" s="39" t="str">
        <f>'Diccionario Datos - PostgreSQL'!X76</f>
        <v>relacion con apiarios</v>
      </c>
      <c r="Y73" s="36"/>
    </row>
    <row r="74" ht="22.5" customHeight="1">
      <c r="A74" s="99">
        <v>2.0</v>
      </c>
      <c r="B74" s="38" t="str">
        <f>'Diccionario Datos - PostgreSQL'!B77</f>
        <v>id_certificacion</v>
      </c>
      <c r="C74" s="95" t="str">
        <f>'Diccionario Datos - PostgreSQL'!C77</f>
        <v>certificacion</v>
      </c>
      <c r="D74" s="96"/>
      <c r="E74" s="96"/>
      <c r="F74" s="97"/>
      <c r="G74" s="98" t="s">
        <v>165</v>
      </c>
      <c r="H74" s="96"/>
      <c r="I74" s="96"/>
      <c r="J74" s="97"/>
      <c r="K74" s="95" t="str">
        <f>'Diccionario Datos - PostgreSQL'!K77</f>
        <v/>
      </c>
      <c r="L74" s="96"/>
      <c r="M74" s="96"/>
      <c r="N74" s="97"/>
      <c r="O74" s="98" t="str">
        <f>'Diccionario Datos - PostgreSQL'!O77</f>
        <v>no</v>
      </c>
      <c r="P74" s="96"/>
      <c r="Q74" s="97"/>
      <c r="R74" s="42" t="s">
        <v>187</v>
      </c>
      <c r="S74" s="12"/>
      <c r="T74" s="42" t="s">
        <v>187</v>
      </c>
      <c r="U74" s="12"/>
      <c r="V74" s="98"/>
      <c r="W74" s="97"/>
      <c r="X74" s="39" t="str">
        <f>'Diccionario Datos - PostgreSQL'!X77</f>
        <v>relacion con certificaciones</v>
      </c>
      <c r="Y74" s="36"/>
    </row>
    <row r="75" ht="24.0" customHeight="1">
      <c r="A75" s="99">
        <v>3.0</v>
      </c>
      <c r="B75" s="38" t="str">
        <f>'Diccionario Datos - PostgreSQL'!B78</f>
        <v/>
      </c>
      <c r="C75" s="95" t="str">
        <f>'Diccionario Datos - PostgreSQL'!C78</f>
        <v/>
      </c>
      <c r="D75" s="96"/>
      <c r="E75" s="96"/>
      <c r="F75" s="97"/>
      <c r="G75" s="98"/>
      <c r="H75" s="96"/>
      <c r="I75" s="96"/>
      <c r="J75" s="97"/>
      <c r="K75" s="95" t="str">
        <f>'Diccionario Datos - PostgreSQL'!K78</f>
        <v/>
      </c>
      <c r="L75" s="96"/>
      <c r="M75" s="96"/>
      <c r="N75" s="97"/>
      <c r="O75" s="98" t="str">
        <f>'Diccionario Datos - PostgreSQL'!O78</f>
        <v/>
      </c>
      <c r="P75" s="96"/>
      <c r="Q75" s="97"/>
      <c r="R75" s="42"/>
      <c r="S75" s="12"/>
      <c r="T75" s="39"/>
      <c r="U75" s="12"/>
      <c r="V75" s="39"/>
      <c r="W75" s="12"/>
      <c r="X75" s="39" t="str">
        <f>'Diccionario Datos - PostgreSQL'!X78</f>
        <v/>
      </c>
      <c r="Y75" s="36"/>
    </row>
    <row r="76" ht="32.25" customHeight="1">
      <c r="A76" s="99">
        <v>4.0</v>
      </c>
      <c r="B76" s="38" t="str">
        <f>'Diccionario Datos - PostgreSQL'!B79</f>
        <v/>
      </c>
      <c r="C76" s="95" t="str">
        <f>'Diccionario Datos - PostgreSQL'!C79</f>
        <v/>
      </c>
      <c r="D76" s="96"/>
      <c r="E76" s="96"/>
      <c r="F76" s="97"/>
      <c r="G76" s="98"/>
      <c r="H76" s="96"/>
      <c r="I76" s="96"/>
      <c r="J76" s="97"/>
      <c r="K76" s="95" t="str">
        <f>'Diccionario Datos - PostgreSQL'!K79</f>
        <v/>
      </c>
      <c r="L76" s="96"/>
      <c r="M76" s="96"/>
      <c r="N76" s="97"/>
      <c r="O76" s="98" t="str">
        <f>'Diccionario Datos - PostgreSQL'!O79</f>
        <v/>
      </c>
      <c r="P76" s="96"/>
      <c r="Q76" s="97"/>
      <c r="R76" s="42"/>
      <c r="S76" s="12"/>
      <c r="T76" s="39"/>
      <c r="U76" s="12"/>
      <c r="V76" s="39"/>
      <c r="W76" s="12"/>
      <c r="X76" s="39" t="str">
        <f>'Diccionario Datos - PostgreSQL'!X79</f>
        <v/>
      </c>
      <c r="Y76" s="36"/>
    </row>
    <row r="77" ht="15.75" customHeight="1"/>
    <row r="78" ht="50.25" customHeight="1">
      <c r="A78" s="64">
        <f>'Diccionario Datos - PostgreSQL'!A81</f>
        <v>13</v>
      </c>
      <c r="B78" s="106" t="s">
        <v>88</v>
      </c>
      <c r="C78" s="85" t="str">
        <f>'Diccionario Datos - PostgreSQL'!C81</f>
        <v>producto_lote</v>
      </c>
      <c r="D78" s="86"/>
      <c r="E78" s="86"/>
      <c r="F78" s="87"/>
      <c r="G78" s="113" t="s">
        <v>89</v>
      </c>
      <c r="H78" s="28"/>
      <c r="I78" s="28"/>
      <c r="J78" s="29"/>
      <c r="K78" s="89" t="str">
        <f>'Diccionario Datos - PostgreSQL'!K81</f>
        <v>Relación entre productos y lotes de producción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7"/>
      <c r="X78" s="114" t="s">
        <v>138</v>
      </c>
      <c r="Y78" s="33">
        <v>2025.0</v>
      </c>
    </row>
    <row r="79" ht="33.75" customHeight="1">
      <c r="A79" s="108" t="s">
        <v>1</v>
      </c>
      <c r="B79" s="109" t="s">
        <v>139</v>
      </c>
      <c r="C79" s="110" t="s">
        <v>140</v>
      </c>
      <c r="D79" s="3"/>
      <c r="E79" s="3"/>
      <c r="F79" s="75"/>
      <c r="G79" s="111" t="s">
        <v>243</v>
      </c>
      <c r="H79" s="77"/>
      <c r="I79" s="77"/>
      <c r="J79" s="78"/>
      <c r="K79" s="110" t="s">
        <v>142</v>
      </c>
      <c r="L79" s="3"/>
      <c r="M79" s="3"/>
      <c r="N79" s="75"/>
      <c r="O79" s="110" t="s">
        <v>143</v>
      </c>
      <c r="P79" s="3"/>
      <c r="Q79" s="75"/>
      <c r="R79" s="115" t="s">
        <v>144</v>
      </c>
      <c r="S79" s="92"/>
      <c r="T79" s="115" t="s">
        <v>145</v>
      </c>
      <c r="U79" s="92"/>
      <c r="V79" s="110" t="s">
        <v>146</v>
      </c>
      <c r="W79" s="75"/>
      <c r="X79" s="116" t="s">
        <v>147</v>
      </c>
      <c r="Y79" s="94"/>
    </row>
    <row r="80" ht="28.5" customHeight="1">
      <c r="A80" s="40">
        <v>1.0</v>
      </c>
      <c r="B80" s="38" t="str">
        <f>'Diccionario Datos - PostgreSQL'!B83</f>
        <v>id_producto</v>
      </c>
      <c r="C80" s="95" t="str">
        <f>'Diccionario Datos - PostgreSQL'!C83</f>
        <v>producto</v>
      </c>
      <c r="D80" s="96"/>
      <c r="E80" s="96"/>
      <c r="F80" s="97"/>
      <c r="G80" s="98" t="s">
        <v>165</v>
      </c>
      <c r="H80" s="96"/>
      <c r="I80" s="96"/>
      <c r="J80" s="97"/>
      <c r="K80" s="95" t="str">
        <f>'Diccionario Datos - PostgreSQL'!K83</f>
        <v/>
      </c>
      <c r="L80" s="96"/>
      <c r="M80" s="96"/>
      <c r="N80" s="97"/>
      <c r="O80" s="98" t="str">
        <f>'Diccionario Datos - PostgreSQL'!O83</f>
        <v>no</v>
      </c>
      <c r="P80" s="96"/>
      <c r="Q80" s="97"/>
      <c r="R80" s="42" t="s">
        <v>152</v>
      </c>
      <c r="S80" s="12"/>
      <c r="T80" s="42" t="s">
        <v>187</v>
      </c>
      <c r="U80" s="12"/>
      <c r="V80" s="98"/>
      <c r="W80" s="97"/>
      <c r="X80" s="39" t="str">
        <f>'Diccionario Datos - PostgreSQL'!X83</f>
        <v>relacion con productos</v>
      </c>
      <c r="Y80" s="36"/>
    </row>
    <row r="81" ht="30.75" customHeight="1">
      <c r="A81" s="99">
        <v>2.0</v>
      </c>
      <c r="B81" s="38" t="str">
        <f>'Diccionario Datos - PostgreSQL'!B84</f>
        <v>id_lote</v>
      </c>
      <c r="C81" s="95" t="str">
        <f>'Diccionario Datos - PostgreSQL'!C84</f>
        <v>lote</v>
      </c>
      <c r="D81" s="96"/>
      <c r="E81" s="96"/>
      <c r="F81" s="97"/>
      <c r="G81" s="98" t="s">
        <v>165</v>
      </c>
      <c r="H81" s="96"/>
      <c r="I81" s="96"/>
      <c r="J81" s="97"/>
      <c r="K81" s="95" t="str">
        <f>'Diccionario Datos - PostgreSQL'!K84</f>
        <v/>
      </c>
      <c r="L81" s="96"/>
      <c r="M81" s="96"/>
      <c r="N81" s="97"/>
      <c r="O81" s="98" t="str">
        <f>'Diccionario Datos - PostgreSQL'!O84</f>
        <v>no</v>
      </c>
      <c r="P81" s="96"/>
      <c r="Q81" s="97"/>
      <c r="R81" s="42" t="s">
        <v>187</v>
      </c>
      <c r="S81" s="12"/>
      <c r="T81" s="42" t="s">
        <v>187</v>
      </c>
      <c r="U81" s="12"/>
      <c r="V81" s="98"/>
      <c r="W81" s="97"/>
      <c r="X81" s="39" t="str">
        <f>'Diccionario Datos - PostgreSQL'!X84</f>
        <v>relacion con lotes_produccion</v>
      </c>
      <c r="Y81" s="36"/>
    </row>
    <row r="82" ht="33.0" customHeight="1">
      <c r="A82" s="99">
        <v>3.0</v>
      </c>
      <c r="B82" s="38" t="str">
        <f>'Diccionario Datos - PostgreSQL'!B85</f>
        <v/>
      </c>
      <c r="C82" s="95" t="str">
        <f>'Diccionario Datos - PostgreSQL'!C85</f>
        <v/>
      </c>
      <c r="D82" s="96"/>
      <c r="E82" s="96"/>
      <c r="F82" s="97"/>
      <c r="G82" s="98"/>
      <c r="H82" s="96"/>
      <c r="I82" s="96"/>
      <c r="J82" s="97"/>
      <c r="K82" s="95" t="str">
        <f>'Diccionario Datos - PostgreSQL'!K85</f>
        <v/>
      </c>
      <c r="L82" s="96"/>
      <c r="M82" s="96"/>
      <c r="N82" s="97"/>
      <c r="O82" s="98" t="str">
        <f>'Diccionario Datos - PostgreSQL'!O85</f>
        <v/>
      </c>
      <c r="P82" s="96"/>
      <c r="Q82" s="97"/>
      <c r="R82" s="42"/>
      <c r="S82" s="12"/>
      <c r="T82" s="39"/>
      <c r="U82" s="12"/>
      <c r="V82" s="39"/>
      <c r="W82" s="12"/>
      <c r="X82" s="39" t="str">
        <f>'Diccionario Datos - PostgreSQL'!X85</f>
        <v/>
      </c>
      <c r="Y82" s="36"/>
    </row>
    <row r="83" ht="27.75" customHeight="1">
      <c r="A83" s="99">
        <v>4.0</v>
      </c>
      <c r="B83" s="38" t="str">
        <f>'Diccionario Datos - PostgreSQL'!B86</f>
        <v/>
      </c>
      <c r="C83" s="95" t="str">
        <f>'Diccionario Datos - PostgreSQL'!C86</f>
        <v/>
      </c>
      <c r="D83" s="96"/>
      <c r="E83" s="96"/>
      <c r="F83" s="97"/>
      <c r="G83" s="98"/>
      <c r="H83" s="96"/>
      <c r="I83" s="96"/>
      <c r="J83" s="97"/>
      <c r="K83" s="95" t="str">
        <f>'Diccionario Datos - PostgreSQL'!K86</f>
        <v/>
      </c>
      <c r="L83" s="96"/>
      <c r="M83" s="96"/>
      <c r="N83" s="97"/>
      <c r="O83" s="98" t="str">
        <f>'Diccionario Datos - PostgreSQL'!O86</f>
        <v/>
      </c>
      <c r="P83" s="96"/>
      <c r="Q83" s="97"/>
      <c r="R83" s="42"/>
      <c r="S83" s="12"/>
      <c r="T83" s="39"/>
      <c r="U83" s="12"/>
      <c r="V83" s="39"/>
      <c r="W83" s="12"/>
      <c r="X83" s="39" t="str">
        <f>'Diccionario Datos - PostgreSQL'!X86</f>
        <v/>
      </c>
      <c r="Y83" s="36"/>
    </row>
    <row r="84" ht="15.75" customHeight="1"/>
    <row r="85" ht="39.0" customHeight="1">
      <c r="A85" s="64">
        <f>'Diccionario Datos - PostgreSQL'!A88</f>
        <v>14</v>
      </c>
      <c r="B85" s="106" t="s">
        <v>88</v>
      </c>
      <c r="C85" s="85" t="str">
        <f>'Diccionario Datos - PostgreSQL'!C88</f>
        <v>entidades_regulatorias</v>
      </c>
      <c r="D85" s="86"/>
      <c r="E85" s="86"/>
      <c r="F85" s="87"/>
      <c r="G85" s="113" t="s">
        <v>89</v>
      </c>
      <c r="H85" s="28"/>
      <c r="I85" s="28"/>
      <c r="J85" s="29"/>
      <c r="K85" s="89" t="str">
        <f>'Diccionario Datos - PostgreSQL'!K88</f>
        <v>Entidades de control y supervisión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7"/>
      <c r="X85" s="114" t="s">
        <v>138</v>
      </c>
      <c r="Y85" s="33">
        <v>2025.0</v>
      </c>
    </row>
    <row r="86" ht="34.5" customHeight="1">
      <c r="A86" s="108" t="s">
        <v>1</v>
      </c>
      <c r="B86" s="109" t="s">
        <v>139</v>
      </c>
      <c r="C86" s="110" t="s">
        <v>140</v>
      </c>
      <c r="D86" s="3"/>
      <c r="E86" s="3"/>
      <c r="F86" s="75"/>
      <c r="G86" s="111" t="s">
        <v>243</v>
      </c>
      <c r="H86" s="77"/>
      <c r="I86" s="77"/>
      <c r="J86" s="78"/>
      <c r="K86" s="110" t="s">
        <v>142</v>
      </c>
      <c r="L86" s="3"/>
      <c r="M86" s="3"/>
      <c r="N86" s="75"/>
      <c r="O86" s="110" t="s">
        <v>143</v>
      </c>
      <c r="P86" s="3"/>
      <c r="Q86" s="75"/>
      <c r="R86" s="115" t="s">
        <v>144</v>
      </c>
      <c r="S86" s="92"/>
      <c r="T86" s="115" t="s">
        <v>145</v>
      </c>
      <c r="U86" s="92"/>
      <c r="V86" s="110" t="s">
        <v>146</v>
      </c>
      <c r="W86" s="75"/>
      <c r="X86" s="116" t="s">
        <v>147</v>
      </c>
      <c r="Y86" s="94"/>
    </row>
    <row r="87" ht="39.75" customHeight="1">
      <c r="A87" s="40">
        <v>1.0</v>
      </c>
      <c r="B87" s="38" t="str">
        <f>'Diccionario Datos - PostgreSQL'!B90</f>
        <v>id_entidad</v>
      </c>
      <c r="C87" s="95" t="str">
        <f>'Diccionario Datos - PostgreSQL'!C90</f>
        <v>identificacion de la entidad</v>
      </c>
      <c r="D87" s="96"/>
      <c r="E87" s="96"/>
      <c r="F87" s="97"/>
      <c r="G87" s="98" t="s">
        <v>245</v>
      </c>
      <c r="H87" s="96"/>
      <c r="I87" s="96"/>
      <c r="J87" s="97"/>
      <c r="K87" s="95" t="str">
        <f>'Diccionario Datos - PostgreSQL'!K90</f>
        <v/>
      </c>
      <c r="L87" s="96"/>
      <c r="M87" s="96"/>
      <c r="N87" s="97"/>
      <c r="O87" s="98" t="str">
        <f>'Diccionario Datos - PostgreSQL'!O90</f>
        <v>no</v>
      </c>
      <c r="P87" s="96"/>
      <c r="Q87" s="97"/>
      <c r="R87" s="42" t="s">
        <v>152</v>
      </c>
      <c r="S87" s="12"/>
      <c r="T87" s="39"/>
      <c r="U87" s="12"/>
      <c r="V87" s="98" t="s">
        <v>187</v>
      </c>
      <c r="W87" s="97"/>
      <c r="X87" s="39" t="str">
        <f>'Diccionario Datos - PostgreSQL'!X90</f>
        <v>clave primaria</v>
      </c>
      <c r="Y87" s="36"/>
    </row>
    <row r="88" ht="27.0" customHeight="1">
      <c r="A88" s="99">
        <v>2.0</v>
      </c>
      <c r="B88" s="38" t="str">
        <f>'Diccionario Datos - PostgreSQL'!B91</f>
        <v>nombre</v>
      </c>
      <c r="C88" s="95" t="str">
        <f>'Diccionario Datos - PostgreSQL'!C91</f>
        <v>nombre de la entidad</v>
      </c>
      <c r="D88" s="96"/>
      <c r="E88" s="96"/>
      <c r="F88" s="97"/>
      <c r="G88" s="98" t="s">
        <v>156</v>
      </c>
      <c r="H88" s="96"/>
      <c r="I88" s="96"/>
      <c r="J88" s="97"/>
      <c r="K88" s="95">
        <f>'Diccionario Datos - PostgreSQL'!K91</f>
        <v>100</v>
      </c>
      <c r="L88" s="96"/>
      <c r="M88" s="96"/>
      <c r="N88" s="97"/>
      <c r="O88" s="98" t="str">
        <f>'Diccionario Datos - PostgreSQL'!O91</f>
        <v>no</v>
      </c>
      <c r="P88" s="96"/>
      <c r="Q88" s="97"/>
      <c r="R88" s="42"/>
      <c r="S88" s="12"/>
      <c r="T88" s="42"/>
      <c r="U88" s="12"/>
      <c r="V88" s="98"/>
      <c r="W88" s="97"/>
      <c r="X88" s="39" t="str">
        <f>'Diccionario Datos - PostgreSQL'!X91</f>
        <v/>
      </c>
      <c r="Y88" s="36"/>
    </row>
    <row r="89" ht="15.75" customHeight="1">
      <c r="A89" s="99">
        <v>3.0</v>
      </c>
      <c r="B89" s="38" t="str">
        <f>'Diccionario Datos - PostgreSQL'!B92</f>
        <v/>
      </c>
      <c r="C89" s="95" t="str">
        <f>'Diccionario Datos - PostgreSQL'!C92</f>
        <v/>
      </c>
      <c r="D89" s="96"/>
      <c r="E89" s="96"/>
      <c r="F89" s="97"/>
      <c r="G89" s="98"/>
      <c r="H89" s="96"/>
      <c r="I89" s="96"/>
      <c r="J89" s="97"/>
      <c r="K89" s="95" t="str">
        <f>'Diccionario Datos - PostgreSQL'!K92</f>
        <v/>
      </c>
      <c r="L89" s="96"/>
      <c r="M89" s="96"/>
      <c r="N89" s="97"/>
      <c r="O89" s="98" t="str">
        <f>'Diccionario Datos - PostgreSQL'!O92</f>
        <v/>
      </c>
      <c r="P89" s="96"/>
      <c r="Q89" s="97"/>
      <c r="R89" s="42"/>
      <c r="S89" s="12"/>
      <c r="T89" s="39"/>
      <c r="U89" s="12"/>
      <c r="V89" s="39"/>
      <c r="W89" s="12"/>
      <c r="X89" s="39" t="str">
        <f>'Diccionario Datos - PostgreSQL'!X92</f>
        <v/>
      </c>
      <c r="Y89" s="36"/>
    </row>
    <row r="90" ht="15.75" customHeight="1">
      <c r="A90" s="99">
        <v>4.0</v>
      </c>
      <c r="B90" s="38" t="str">
        <f>'Diccionario Datos - PostgreSQL'!B93</f>
        <v/>
      </c>
      <c r="C90" s="95" t="str">
        <f>'Diccionario Datos - PostgreSQL'!C93</f>
        <v/>
      </c>
      <c r="D90" s="96"/>
      <c r="E90" s="96"/>
      <c r="F90" s="97"/>
      <c r="G90" s="98"/>
      <c r="H90" s="96"/>
      <c r="I90" s="96"/>
      <c r="J90" s="97"/>
      <c r="K90" s="95" t="str">
        <f>'Diccionario Datos - PostgreSQL'!K93</f>
        <v/>
      </c>
      <c r="L90" s="96"/>
      <c r="M90" s="96"/>
      <c r="N90" s="97"/>
      <c r="O90" s="98" t="str">
        <f>'Diccionario Datos - PostgreSQL'!O93</f>
        <v/>
      </c>
      <c r="P90" s="96"/>
      <c r="Q90" s="97"/>
      <c r="R90" s="42"/>
      <c r="S90" s="12"/>
      <c r="T90" s="39"/>
      <c r="U90" s="12"/>
      <c r="V90" s="39"/>
      <c r="W90" s="12"/>
      <c r="X90" s="39" t="str">
        <f>'Diccionario Datos - PostgreSQL'!X93</f>
        <v/>
      </c>
      <c r="Y90" s="36"/>
    </row>
    <row r="91" ht="15.75" customHeight="1"/>
    <row r="92" ht="39.75" customHeight="1">
      <c r="A92" s="64">
        <f>'Diccionario Datos - PostgreSQL'!A95</f>
        <v>15</v>
      </c>
      <c r="B92" s="106" t="s">
        <v>88</v>
      </c>
      <c r="C92" s="85" t="str">
        <f>'Diccionario Datos - PostgreSQL'!C95</f>
        <v>inspecciones</v>
      </c>
      <c r="D92" s="86"/>
      <c r="E92" s="86"/>
      <c r="F92" s="87"/>
      <c r="G92" s="113" t="s">
        <v>89</v>
      </c>
      <c r="H92" s="28"/>
      <c r="I92" s="28"/>
      <c r="J92" s="29"/>
      <c r="K92" s="89" t="str">
        <f>'Diccionario Datos - PostgreSQL'!K95</f>
        <v>Registro de inspecciones realizadas a apiarios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7"/>
      <c r="X92" s="114" t="s">
        <v>138</v>
      </c>
      <c r="Y92" s="33">
        <v>2025.0</v>
      </c>
    </row>
    <row r="93" ht="27.75" customHeight="1">
      <c r="A93" s="108" t="s">
        <v>1</v>
      </c>
      <c r="B93" s="109" t="s">
        <v>139</v>
      </c>
      <c r="C93" s="110" t="s">
        <v>140</v>
      </c>
      <c r="D93" s="3"/>
      <c r="E93" s="3"/>
      <c r="F93" s="75"/>
      <c r="G93" s="111" t="s">
        <v>243</v>
      </c>
      <c r="H93" s="77"/>
      <c r="I93" s="77"/>
      <c r="J93" s="78"/>
      <c r="K93" s="110" t="s">
        <v>142</v>
      </c>
      <c r="L93" s="3"/>
      <c r="M93" s="3"/>
      <c r="N93" s="75"/>
      <c r="O93" s="110" t="s">
        <v>143</v>
      </c>
      <c r="P93" s="3"/>
      <c r="Q93" s="75"/>
      <c r="R93" s="115" t="s">
        <v>144</v>
      </c>
      <c r="S93" s="92"/>
      <c r="T93" s="115" t="s">
        <v>145</v>
      </c>
      <c r="U93" s="92"/>
      <c r="V93" s="110" t="s">
        <v>146</v>
      </c>
      <c r="W93" s="75"/>
      <c r="X93" s="116" t="s">
        <v>147</v>
      </c>
      <c r="Y93" s="94"/>
    </row>
    <row r="94" ht="38.25" customHeight="1">
      <c r="A94" s="40">
        <v>1.0</v>
      </c>
      <c r="B94" s="38" t="str">
        <f>'Diccionario Datos - PostgreSQL'!B97</f>
        <v>id_inspeccion</v>
      </c>
      <c r="C94" s="95" t="str">
        <f>'Diccionario Datos - PostgreSQL'!C97</f>
        <v>identificacion de la inspeccion</v>
      </c>
      <c r="D94" s="96"/>
      <c r="E94" s="96"/>
      <c r="F94" s="97"/>
      <c r="G94" s="98" t="s">
        <v>245</v>
      </c>
      <c r="H94" s="96"/>
      <c r="I94" s="96"/>
      <c r="J94" s="97"/>
      <c r="K94" s="95" t="str">
        <f>'Diccionario Datos - PostgreSQL'!K97</f>
        <v/>
      </c>
      <c r="L94" s="96"/>
      <c r="M94" s="96"/>
      <c r="N94" s="97"/>
      <c r="O94" s="98" t="str">
        <f>'Diccionario Datos - PostgreSQL'!O97</f>
        <v>no</v>
      </c>
      <c r="P94" s="96"/>
      <c r="Q94" s="97"/>
      <c r="R94" s="42" t="s">
        <v>152</v>
      </c>
      <c r="S94" s="12"/>
      <c r="T94" s="39"/>
      <c r="U94" s="12"/>
      <c r="V94" s="98" t="s">
        <v>187</v>
      </c>
      <c r="W94" s="97"/>
      <c r="X94" s="39" t="str">
        <f>'Diccionario Datos - PostgreSQL'!X97</f>
        <v>clave primaria</v>
      </c>
      <c r="Y94" s="36"/>
    </row>
    <row r="95" ht="36.0" customHeight="1">
      <c r="A95" s="99">
        <v>2.0</v>
      </c>
      <c r="B95" s="38" t="str">
        <f>'Diccionario Datos - PostgreSQL'!B98</f>
        <v>id_apiario</v>
      </c>
      <c r="C95" s="95" t="str">
        <f>'Diccionario Datos - PostgreSQL'!C98</f>
        <v>apiario inspeccionado</v>
      </c>
      <c r="D95" s="96"/>
      <c r="E95" s="96"/>
      <c r="F95" s="97"/>
      <c r="G95" s="98" t="s">
        <v>165</v>
      </c>
      <c r="H95" s="96"/>
      <c r="I95" s="96"/>
      <c r="J95" s="97"/>
      <c r="K95" s="95" t="str">
        <f>'Diccionario Datos - PostgreSQL'!K98</f>
        <v/>
      </c>
      <c r="L95" s="96"/>
      <c r="M95" s="96"/>
      <c r="N95" s="97"/>
      <c r="O95" s="98" t="str">
        <f>'Diccionario Datos - PostgreSQL'!O98</f>
        <v>no</v>
      </c>
      <c r="P95" s="96"/>
      <c r="Q95" s="97"/>
      <c r="R95" s="42"/>
      <c r="S95" s="12"/>
      <c r="T95" s="42" t="s">
        <v>187</v>
      </c>
      <c r="U95" s="12"/>
      <c r="V95" s="98"/>
      <c r="W95" s="97"/>
      <c r="X95" s="39" t="str">
        <f>'Diccionario Datos - PostgreSQL'!X98</f>
        <v>relacion con apiarios</v>
      </c>
      <c r="Y95" s="36"/>
    </row>
    <row r="96" ht="22.5" customHeight="1">
      <c r="A96" s="99">
        <v>3.0</v>
      </c>
      <c r="B96" s="38" t="str">
        <f>'Diccionario Datos - PostgreSQL'!B99</f>
        <v>id_entidad</v>
      </c>
      <c r="C96" s="95" t="str">
        <f>'Diccionario Datos - PostgreSQL'!C99</f>
        <v>entidad que inspecciona</v>
      </c>
      <c r="D96" s="96"/>
      <c r="E96" s="96"/>
      <c r="F96" s="97"/>
      <c r="G96" s="98" t="s">
        <v>165</v>
      </c>
      <c r="H96" s="96"/>
      <c r="I96" s="96"/>
      <c r="J96" s="97"/>
      <c r="K96" s="95" t="str">
        <f>'Diccionario Datos - PostgreSQL'!K99</f>
        <v/>
      </c>
      <c r="L96" s="96"/>
      <c r="M96" s="96"/>
      <c r="N96" s="97"/>
      <c r="O96" s="98" t="str">
        <f>'Diccionario Datos - PostgreSQL'!O99</f>
        <v>no</v>
      </c>
      <c r="P96" s="96"/>
      <c r="Q96" s="97"/>
      <c r="R96" s="42"/>
      <c r="S96" s="12"/>
      <c r="T96" s="42" t="s">
        <v>187</v>
      </c>
      <c r="U96" s="12"/>
      <c r="V96" s="39"/>
      <c r="W96" s="12"/>
      <c r="X96" s="39" t="str">
        <f>'Diccionario Datos - PostgreSQL'!X99</f>
        <v>relacion con entidades_regulatorias</v>
      </c>
      <c r="Y96" s="36"/>
    </row>
    <row r="97" ht="26.25" customHeight="1">
      <c r="A97" s="99">
        <v>4.0</v>
      </c>
      <c r="B97" s="38" t="str">
        <f>'Diccionario Datos - PostgreSQL'!B100</f>
        <v>fecha</v>
      </c>
      <c r="C97" s="95" t="str">
        <f>'Diccionario Datos - PostgreSQL'!C100</f>
        <v>fecha de la inspeccion</v>
      </c>
      <c r="D97" s="96"/>
      <c r="E97" s="96"/>
      <c r="F97" s="97"/>
      <c r="G97" s="98" t="s">
        <v>43</v>
      </c>
      <c r="H97" s="96"/>
      <c r="I97" s="96"/>
      <c r="J97" s="97"/>
      <c r="K97" s="95" t="str">
        <f>'Diccionario Datos - PostgreSQL'!K100</f>
        <v/>
      </c>
      <c r="L97" s="96"/>
      <c r="M97" s="96"/>
      <c r="N97" s="97"/>
      <c r="O97" s="98" t="str">
        <f>'Diccionario Datos - PostgreSQL'!O100</f>
        <v>no</v>
      </c>
      <c r="P97" s="96"/>
      <c r="Q97" s="97"/>
      <c r="R97" s="42"/>
      <c r="S97" s="12"/>
      <c r="T97" s="39"/>
      <c r="U97" s="12"/>
      <c r="V97" s="39"/>
      <c r="W97" s="12"/>
      <c r="X97" s="39" t="str">
        <f>'Diccionario Datos - PostgreSQL'!X100</f>
        <v/>
      </c>
      <c r="Y97" s="36"/>
    </row>
    <row r="98" ht="15.75" customHeight="1"/>
    <row r="99" ht="30.75" customHeight="1">
      <c r="A99" s="64">
        <f>'Diccionario Datos - PostgreSQL'!A102</f>
        <v>16</v>
      </c>
      <c r="B99" s="106" t="s">
        <v>88</v>
      </c>
      <c r="C99" s="85" t="str">
        <f>'Diccionario Datos - PostgreSQL'!C100</f>
        <v>fecha de la inspeccion</v>
      </c>
      <c r="D99" s="86"/>
      <c r="E99" s="86"/>
      <c r="F99" s="87"/>
      <c r="G99" s="113" t="s">
        <v>89</v>
      </c>
      <c r="H99" s="28"/>
      <c r="I99" s="28"/>
      <c r="J99" s="29"/>
      <c r="K99" s="89" t="str">
        <f>'Diccionario Datos - PostgreSQL'!K102</f>
        <v>Registro de lotes generados en producción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7"/>
      <c r="X99" s="114" t="s">
        <v>138</v>
      </c>
      <c r="Y99" s="33">
        <v>2025.0</v>
      </c>
    </row>
    <row r="100" ht="30.75" customHeight="1">
      <c r="A100" s="108" t="s">
        <v>1</v>
      </c>
      <c r="B100" s="109" t="s">
        <v>139</v>
      </c>
      <c r="C100" s="110" t="s">
        <v>140</v>
      </c>
      <c r="D100" s="3"/>
      <c r="E100" s="3"/>
      <c r="F100" s="75"/>
      <c r="G100" s="111" t="s">
        <v>243</v>
      </c>
      <c r="H100" s="77"/>
      <c r="I100" s="77"/>
      <c r="J100" s="78"/>
      <c r="K100" s="110" t="s">
        <v>142</v>
      </c>
      <c r="L100" s="3"/>
      <c r="M100" s="3"/>
      <c r="N100" s="75"/>
      <c r="O100" s="110" t="s">
        <v>143</v>
      </c>
      <c r="P100" s="3"/>
      <c r="Q100" s="75"/>
      <c r="R100" s="115" t="s">
        <v>144</v>
      </c>
      <c r="S100" s="92"/>
      <c r="T100" s="115" t="s">
        <v>145</v>
      </c>
      <c r="U100" s="92"/>
      <c r="V100" s="110" t="s">
        <v>146</v>
      </c>
      <c r="W100" s="75"/>
      <c r="X100" s="116" t="s">
        <v>147</v>
      </c>
      <c r="Y100" s="94"/>
    </row>
    <row r="101" ht="36.0" customHeight="1">
      <c r="A101" s="40">
        <v>1.0</v>
      </c>
      <c r="B101" s="38" t="str">
        <f>'Diccionario Datos - PostgreSQL'!B104</f>
        <v>id_lote</v>
      </c>
      <c r="C101" s="95" t="str">
        <f>'Diccionario Datos - PostgreSQL'!C104</f>
        <v>identificacion del lote</v>
      </c>
      <c r="D101" s="96"/>
      <c r="E101" s="96"/>
      <c r="F101" s="97"/>
      <c r="G101" s="98" t="s">
        <v>245</v>
      </c>
      <c r="H101" s="96"/>
      <c r="I101" s="96"/>
      <c r="J101" s="97"/>
      <c r="K101" s="95" t="str">
        <f>'Diccionario Datos - PostgreSQL'!K104</f>
        <v/>
      </c>
      <c r="L101" s="96"/>
      <c r="M101" s="96"/>
      <c r="N101" s="97"/>
      <c r="O101" s="98" t="str">
        <f>'Diccionario Datos - PostgreSQL'!O104</f>
        <v>no</v>
      </c>
      <c r="P101" s="96"/>
      <c r="Q101" s="97"/>
      <c r="R101" s="42" t="s">
        <v>152</v>
      </c>
      <c r="S101" s="12"/>
      <c r="T101" s="39"/>
      <c r="U101" s="12"/>
      <c r="V101" s="98" t="s">
        <v>187</v>
      </c>
      <c r="W101" s="97"/>
      <c r="X101" s="39" t="str">
        <f>'Diccionario Datos - PostgreSQL'!X104</f>
        <v>clave primaria</v>
      </c>
      <c r="Y101" s="36"/>
    </row>
    <row r="102" ht="30.0" customHeight="1">
      <c r="A102" s="99">
        <v>2.0</v>
      </c>
      <c r="B102" s="38" t="str">
        <f>'Diccionario Datos - PostgreSQL'!B105</f>
        <v>fecha</v>
      </c>
      <c r="C102" s="95" t="str">
        <f>'Diccionario Datos - PostgreSQL'!C105</f>
        <v>fecha de produccion</v>
      </c>
      <c r="D102" s="96"/>
      <c r="E102" s="96"/>
      <c r="F102" s="97"/>
      <c r="G102" s="98" t="s">
        <v>43</v>
      </c>
      <c r="H102" s="96"/>
      <c r="I102" s="96"/>
      <c r="J102" s="97"/>
      <c r="K102" s="95" t="str">
        <f>'Diccionario Datos - PostgreSQL'!K105</f>
        <v/>
      </c>
      <c r="L102" s="96"/>
      <c r="M102" s="96"/>
      <c r="N102" s="97"/>
      <c r="O102" s="98" t="str">
        <f>'Diccionario Datos - PostgreSQL'!O105</f>
        <v>no</v>
      </c>
      <c r="P102" s="96"/>
      <c r="Q102" s="97"/>
      <c r="R102" s="42"/>
      <c r="S102" s="12"/>
      <c r="T102" s="42" t="s">
        <v>187</v>
      </c>
      <c r="U102" s="12"/>
      <c r="V102" s="98"/>
      <c r="W102" s="97"/>
      <c r="X102" s="39" t="str">
        <f>'Diccionario Datos - PostgreSQL'!X105</f>
        <v/>
      </c>
      <c r="Y102" s="36"/>
    </row>
    <row r="103" ht="29.25" customHeight="1">
      <c r="A103" s="99">
        <v>3.0</v>
      </c>
      <c r="B103" s="38" t="str">
        <f>'Diccionario Datos - PostgreSQL'!B106</f>
        <v>cantidad</v>
      </c>
      <c r="C103" s="95" t="str">
        <f>'Diccionario Datos - PostgreSQL'!C106</f>
        <v>cantidad producida</v>
      </c>
      <c r="D103" s="96"/>
      <c r="E103" s="96"/>
      <c r="F103" s="97"/>
      <c r="G103" s="98" t="s">
        <v>165</v>
      </c>
      <c r="H103" s="96"/>
      <c r="I103" s="96"/>
      <c r="J103" s="97"/>
      <c r="K103" s="95" t="str">
        <f>'Diccionario Datos - PostgreSQL'!K106</f>
        <v/>
      </c>
      <c r="L103" s="96"/>
      <c r="M103" s="96"/>
      <c r="N103" s="97"/>
      <c r="O103" s="98" t="str">
        <f>'Diccionario Datos - PostgreSQL'!O106</f>
        <v>no</v>
      </c>
      <c r="P103" s="96"/>
      <c r="Q103" s="97"/>
      <c r="R103" s="42"/>
      <c r="S103" s="12"/>
      <c r="T103" s="39"/>
      <c r="U103" s="12"/>
      <c r="V103" s="39"/>
      <c r="W103" s="12"/>
      <c r="X103" s="39" t="str">
        <f>'Diccionario Datos - PostgreSQL'!X106</f>
        <v/>
      </c>
      <c r="Y103" s="36"/>
    </row>
    <row r="104" ht="36.75" customHeight="1">
      <c r="A104" s="99">
        <v>4.0</v>
      </c>
      <c r="B104" s="38" t="str">
        <f>'Diccionario Datos - PostgreSQL'!B107</f>
        <v/>
      </c>
      <c r="C104" s="95" t="str">
        <f>'Diccionario Datos - PostgreSQL'!C107</f>
        <v/>
      </c>
      <c r="D104" s="96"/>
      <c r="E104" s="96"/>
      <c r="F104" s="97"/>
      <c r="G104" s="98"/>
      <c r="H104" s="96"/>
      <c r="I104" s="96"/>
      <c r="J104" s="97"/>
      <c r="K104" s="95" t="str">
        <f>'Diccionario Datos - PostgreSQL'!K107</f>
        <v/>
      </c>
      <c r="L104" s="96"/>
      <c r="M104" s="96"/>
      <c r="N104" s="97"/>
      <c r="O104" s="98" t="str">
        <f>'Diccionario Datos - PostgreSQL'!O107</f>
        <v/>
      </c>
      <c r="P104" s="96"/>
      <c r="Q104" s="97"/>
      <c r="R104" s="42"/>
      <c r="S104" s="12"/>
      <c r="T104" s="39"/>
      <c r="U104" s="12"/>
      <c r="V104" s="39"/>
      <c r="W104" s="12"/>
      <c r="X104" s="39" t="str">
        <f>'Diccionario Datos - PostgreSQL'!X107</f>
        <v/>
      </c>
      <c r="Y104" s="36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585">
    <mergeCell ref="C8:F8"/>
    <mergeCell ref="G8:J8"/>
    <mergeCell ref="K8:W8"/>
    <mergeCell ref="C9:F9"/>
    <mergeCell ref="G9:J9"/>
    <mergeCell ref="K9:N9"/>
    <mergeCell ref="O9:Q9"/>
    <mergeCell ref="G10:J10"/>
    <mergeCell ref="K10:N10"/>
    <mergeCell ref="O10:Q10"/>
    <mergeCell ref="R10:S10"/>
    <mergeCell ref="T10:U10"/>
    <mergeCell ref="V10:W10"/>
    <mergeCell ref="X10:Y10"/>
    <mergeCell ref="V11:W11"/>
    <mergeCell ref="X11:Y11"/>
    <mergeCell ref="C10:F10"/>
    <mergeCell ref="C11:F11"/>
    <mergeCell ref="G11:J11"/>
    <mergeCell ref="K11:N11"/>
    <mergeCell ref="O11:Q11"/>
    <mergeCell ref="R11:S11"/>
    <mergeCell ref="T11:U11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R9:S9"/>
    <mergeCell ref="T9:U9"/>
    <mergeCell ref="V9:W9"/>
    <mergeCell ref="X9:Y9"/>
    <mergeCell ref="V13:W13"/>
    <mergeCell ref="X13:Y13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2:J12"/>
    <mergeCell ref="K12:N12"/>
    <mergeCell ref="O12:Q12"/>
    <mergeCell ref="R12:S12"/>
    <mergeCell ref="T12:U12"/>
    <mergeCell ref="V12:W12"/>
    <mergeCell ref="X12:Y12"/>
    <mergeCell ref="C12:F12"/>
    <mergeCell ref="C13:F13"/>
    <mergeCell ref="G13:J13"/>
    <mergeCell ref="K13:N13"/>
    <mergeCell ref="O13:Q13"/>
    <mergeCell ref="R13:S13"/>
    <mergeCell ref="T13:U13"/>
    <mergeCell ref="R16:S16"/>
    <mergeCell ref="T16:U16"/>
    <mergeCell ref="V16:W16"/>
    <mergeCell ref="X16:Y16"/>
    <mergeCell ref="C15:F15"/>
    <mergeCell ref="G15:J15"/>
    <mergeCell ref="K15:W15"/>
    <mergeCell ref="C16:F16"/>
    <mergeCell ref="G16:J16"/>
    <mergeCell ref="K16:N16"/>
    <mergeCell ref="O16:Q16"/>
    <mergeCell ref="V18:W18"/>
    <mergeCell ref="X18:Y18"/>
    <mergeCell ref="V21:W21"/>
    <mergeCell ref="X21:Y21"/>
    <mergeCell ref="G28:J28"/>
    <mergeCell ref="K28:N28"/>
    <mergeCell ref="O28:Q28"/>
    <mergeCell ref="R28:S28"/>
    <mergeCell ref="T28:U28"/>
    <mergeCell ref="V28:W28"/>
    <mergeCell ref="X28:Y28"/>
    <mergeCell ref="C28:F28"/>
    <mergeCell ref="C29:F29"/>
    <mergeCell ref="G29:J29"/>
    <mergeCell ref="K29:N29"/>
    <mergeCell ref="O29:Q29"/>
    <mergeCell ref="R29:S29"/>
    <mergeCell ref="T29:U29"/>
    <mergeCell ref="T30:U30"/>
    <mergeCell ref="V30:W30"/>
    <mergeCell ref="V29:W29"/>
    <mergeCell ref="X29:Y29"/>
    <mergeCell ref="G30:J30"/>
    <mergeCell ref="K30:N30"/>
    <mergeCell ref="O30:Q30"/>
    <mergeCell ref="R30:S30"/>
    <mergeCell ref="X30:Y30"/>
    <mergeCell ref="G24:J24"/>
    <mergeCell ref="K24:N24"/>
    <mergeCell ref="O24:Q24"/>
    <mergeCell ref="R24:S24"/>
    <mergeCell ref="T24:U24"/>
    <mergeCell ref="V24:W24"/>
    <mergeCell ref="X24:Y24"/>
    <mergeCell ref="K26:W26"/>
    <mergeCell ref="C24:F24"/>
    <mergeCell ref="C26:F26"/>
    <mergeCell ref="G26:J26"/>
    <mergeCell ref="C27:F27"/>
    <mergeCell ref="G27:J27"/>
    <mergeCell ref="K27:N27"/>
    <mergeCell ref="O27:Q27"/>
    <mergeCell ref="R21:S21"/>
    <mergeCell ref="T21:U21"/>
    <mergeCell ref="C20:F20"/>
    <mergeCell ref="G20:J20"/>
    <mergeCell ref="K20:W20"/>
    <mergeCell ref="C21:F21"/>
    <mergeCell ref="G21:J21"/>
    <mergeCell ref="K21:N21"/>
    <mergeCell ref="O21:Q21"/>
    <mergeCell ref="G22:J22"/>
    <mergeCell ref="K22:N22"/>
    <mergeCell ref="O22:Q22"/>
    <mergeCell ref="R22:S22"/>
    <mergeCell ref="T22:U22"/>
    <mergeCell ref="V22:W22"/>
    <mergeCell ref="X22:Y22"/>
    <mergeCell ref="V23:W23"/>
    <mergeCell ref="X23:Y23"/>
    <mergeCell ref="C22:F22"/>
    <mergeCell ref="C23:F23"/>
    <mergeCell ref="G23:J23"/>
    <mergeCell ref="K23:N23"/>
    <mergeCell ref="O23:Q23"/>
    <mergeCell ref="R23:S23"/>
    <mergeCell ref="T23:U23"/>
    <mergeCell ref="R27:S27"/>
    <mergeCell ref="T27:U27"/>
    <mergeCell ref="V27:W27"/>
    <mergeCell ref="X27:Y27"/>
    <mergeCell ref="T33:U33"/>
    <mergeCell ref="V33:W33"/>
    <mergeCell ref="X33:Y33"/>
    <mergeCell ref="G36:J36"/>
    <mergeCell ref="K36:N36"/>
    <mergeCell ref="O36:Q36"/>
    <mergeCell ref="R36:S36"/>
    <mergeCell ref="T36:U36"/>
    <mergeCell ref="V36:W36"/>
    <mergeCell ref="X36:Y36"/>
    <mergeCell ref="C36:F36"/>
    <mergeCell ref="C37:F37"/>
    <mergeCell ref="G37:J37"/>
    <mergeCell ref="K37:N37"/>
    <mergeCell ref="O37:Q37"/>
    <mergeCell ref="R37:S37"/>
    <mergeCell ref="T37:U37"/>
    <mergeCell ref="O33:Q33"/>
    <mergeCell ref="R33:S33"/>
    <mergeCell ref="C30:F30"/>
    <mergeCell ref="C32:F32"/>
    <mergeCell ref="G32:J32"/>
    <mergeCell ref="K32:W32"/>
    <mergeCell ref="C33:F33"/>
    <mergeCell ref="G33:J33"/>
    <mergeCell ref="K33:N33"/>
    <mergeCell ref="G34:J34"/>
    <mergeCell ref="K34:N34"/>
    <mergeCell ref="O34:Q34"/>
    <mergeCell ref="R34:S34"/>
    <mergeCell ref="T34:U34"/>
    <mergeCell ref="V34:W34"/>
    <mergeCell ref="X34:Y34"/>
    <mergeCell ref="V35:W35"/>
    <mergeCell ref="X35:Y35"/>
    <mergeCell ref="C34:F34"/>
    <mergeCell ref="C35:F35"/>
    <mergeCell ref="G35:J35"/>
    <mergeCell ref="K35:N35"/>
    <mergeCell ref="O35:Q35"/>
    <mergeCell ref="R35:S35"/>
    <mergeCell ref="T35:U35"/>
    <mergeCell ref="V37:W37"/>
    <mergeCell ref="X37:Y37"/>
    <mergeCell ref="V40:W40"/>
    <mergeCell ref="X40:Y40"/>
    <mergeCell ref="G43:J43"/>
    <mergeCell ref="K43:N43"/>
    <mergeCell ref="O43:Q43"/>
    <mergeCell ref="R43:S43"/>
    <mergeCell ref="T43:U43"/>
    <mergeCell ref="V43:W43"/>
    <mergeCell ref="X43:Y43"/>
    <mergeCell ref="K45:W45"/>
    <mergeCell ref="C43:F43"/>
    <mergeCell ref="C45:F45"/>
    <mergeCell ref="G45:J45"/>
    <mergeCell ref="C46:F46"/>
    <mergeCell ref="G46:J46"/>
    <mergeCell ref="K46:N46"/>
    <mergeCell ref="O46:Q46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T52:U52"/>
    <mergeCell ref="V52:W52"/>
    <mergeCell ref="X52:Y52"/>
    <mergeCell ref="R51:S51"/>
    <mergeCell ref="T51:U51"/>
    <mergeCell ref="C52:F52"/>
    <mergeCell ref="G52:J52"/>
    <mergeCell ref="K52:N52"/>
    <mergeCell ref="O52:Q52"/>
    <mergeCell ref="R52:S52"/>
    <mergeCell ref="K51:N51"/>
    <mergeCell ref="O51:Q51"/>
    <mergeCell ref="V51:W51"/>
    <mergeCell ref="X51:Y51"/>
    <mergeCell ref="V48:W48"/>
    <mergeCell ref="X48:Y48"/>
    <mergeCell ref="C50:F50"/>
    <mergeCell ref="G50:J50"/>
    <mergeCell ref="K50:W50"/>
    <mergeCell ref="C51:F51"/>
    <mergeCell ref="G51:J51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T55:U55"/>
    <mergeCell ref="V55:W55"/>
    <mergeCell ref="V54:W54"/>
    <mergeCell ref="X54:Y54"/>
    <mergeCell ref="G55:J55"/>
    <mergeCell ref="K55:N55"/>
    <mergeCell ref="O55:Q55"/>
    <mergeCell ref="R55:S55"/>
    <mergeCell ref="X55:Y55"/>
    <mergeCell ref="R40:S40"/>
    <mergeCell ref="T40:U40"/>
    <mergeCell ref="C39:F39"/>
    <mergeCell ref="G39:J39"/>
    <mergeCell ref="K39:W39"/>
    <mergeCell ref="C40:F40"/>
    <mergeCell ref="G40:J40"/>
    <mergeCell ref="K40:N40"/>
    <mergeCell ref="O40:Q40"/>
    <mergeCell ref="G41:J41"/>
    <mergeCell ref="K41:N41"/>
    <mergeCell ref="O41:Q41"/>
    <mergeCell ref="R41:S41"/>
    <mergeCell ref="T41:U41"/>
    <mergeCell ref="V41:W41"/>
    <mergeCell ref="X41:Y41"/>
    <mergeCell ref="V42:W42"/>
    <mergeCell ref="X42:Y42"/>
    <mergeCell ref="C41:F41"/>
    <mergeCell ref="C42:F42"/>
    <mergeCell ref="G42:J42"/>
    <mergeCell ref="K42:N42"/>
    <mergeCell ref="O42:Q42"/>
    <mergeCell ref="R42:S42"/>
    <mergeCell ref="T42:U42"/>
    <mergeCell ref="R46:S46"/>
    <mergeCell ref="T46:U46"/>
    <mergeCell ref="V46:W46"/>
    <mergeCell ref="X46:Y46"/>
    <mergeCell ref="T58:U58"/>
    <mergeCell ref="V58:W58"/>
    <mergeCell ref="X58:Y58"/>
    <mergeCell ref="R65:S65"/>
    <mergeCell ref="T65:U65"/>
    <mergeCell ref="C64:F64"/>
    <mergeCell ref="G64:J64"/>
    <mergeCell ref="K64:W64"/>
    <mergeCell ref="C65:F65"/>
    <mergeCell ref="G65:J65"/>
    <mergeCell ref="K65:N65"/>
    <mergeCell ref="O65:Q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73:U73"/>
    <mergeCell ref="V73:W73"/>
    <mergeCell ref="X73:Y73"/>
    <mergeCell ref="R72:S72"/>
    <mergeCell ref="T72:U72"/>
    <mergeCell ref="C73:F73"/>
    <mergeCell ref="G73:J73"/>
    <mergeCell ref="K73:N73"/>
    <mergeCell ref="O73:Q73"/>
    <mergeCell ref="R73:S73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R86:S86"/>
    <mergeCell ref="T86:U86"/>
    <mergeCell ref="C85:F85"/>
    <mergeCell ref="G85:J85"/>
    <mergeCell ref="K85:W85"/>
    <mergeCell ref="C86:F86"/>
    <mergeCell ref="G86:J86"/>
    <mergeCell ref="K86:N86"/>
    <mergeCell ref="O86:Q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V90:W90"/>
    <mergeCell ref="X90:Y90"/>
    <mergeCell ref="V93:W93"/>
    <mergeCell ref="X93:Y93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R93:S93"/>
    <mergeCell ref="T93:U93"/>
    <mergeCell ref="C92:F92"/>
    <mergeCell ref="G92:J92"/>
    <mergeCell ref="K92:W92"/>
    <mergeCell ref="C93:F93"/>
    <mergeCell ref="G93:J93"/>
    <mergeCell ref="K93:N93"/>
    <mergeCell ref="O93:Q93"/>
    <mergeCell ref="G94:J94"/>
    <mergeCell ref="K94:N94"/>
    <mergeCell ref="O94:Q94"/>
    <mergeCell ref="R94:S94"/>
    <mergeCell ref="T94:U94"/>
    <mergeCell ref="V94:W94"/>
    <mergeCell ref="X94:Y94"/>
    <mergeCell ref="V95:W95"/>
    <mergeCell ref="X95:Y95"/>
    <mergeCell ref="C94:F94"/>
    <mergeCell ref="C95:F95"/>
    <mergeCell ref="G95:J95"/>
    <mergeCell ref="K95:N95"/>
    <mergeCell ref="O95:Q95"/>
    <mergeCell ref="R95:S95"/>
    <mergeCell ref="T95:U95"/>
    <mergeCell ref="V97:W97"/>
    <mergeCell ref="X97:Y97"/>
    <mergeCell ref="V100:W100"/>
    <mergeCell ref="X100:Y100"/>
    <mergeCell ref="K72:N72"/>
    <mergeCell ref="O72:Q72"/>
    <mergeCell ref="V72:W72"/>
    <mergeCell ref="X72:Y72"/>
    <mergeCell ref="V67:W67"/>
    <mergeCell ref="X67:Y67"/>
    <mergeCell ref="C71:F71"/>
    <mergeCell ref="G71:J71"/>
    <mergeCell ref="K71:W71"/>
    <mergeCell ref="C72:F72"/>
    <mergeCell ref="G72:J72"/>
    <mergeCell ref="G74:J74"/>
    <mergeCell ref="K74:N74"/>
    <mergeCell ref="O74:Q74"/>
    <mergeCell ref="R74:S74"/>
    <mergeCell ref="T74:U74"/>
    <mergeCell ref="V74:W74"/>
    <mergeCell ref="X74:Y74"/>
    <mergeCell ref="C74:F74"/>
    <mergeCell ref="C75:F75"/>
    <mergeCell ref="G75:J75"/>
    <mergeCell ref="K75:N75"/>
    <mergeCell ref="O75:Q75"/>
    <mergeCell ref="R75:S75"/>
    <mergeCell ref="T75:U75"/>
    <mergeCell ref="T76:U76"/>
    <mergeCell ref="V76:W76"/>
    <mergeCell ref="V75:W75"/>
    <mergeCell ref="X75:Y75"/>
    <mergeCell ref="G76:J76"/>
    <mergeCell ref="K76:N76"/>
    <mergeCell ref="O76:Q76"/>
    <mergeCell ref="R76:S76"/>
    <mergeCell ref="X76:Y76"/>
    <mergeCell ref="O58:Q58"/>
    <mergeCell ref="R58:S58"/>
    <mergeCell ref="C55:F55"/>
    <mergeCell ref="C57:F57"/>
    <mergeCell ref="G57:J57"/>
    <mergeCell ref="K57:W57"/>
    <mergeCell ref="C58:F58"/>
    <mergeCell ref="G58:J58"/>
    <mergeCell ref="K58:N58"/>
    <mergeCell ref="G59:J59"/>
    <mergeCell ref="K59:N59"/>
    <mergeCell ref="O59:Q59"/>
    <mergeCell ref="R59:S59"/>
    <mergeCell ref="T59:U59"/>
    <mergeCell ref="V59:W59"/>
    <mergeCell ref="X59:Y59"/>
    <mergeCell ref="V60:W60"/>
    <mergeCell ref="X60:Y60"/>
    <mergeCell ref="C59:F59"/>
    <mergeCell ref="C60:F60"/>
    <mergeCell ref="G60:J60"/>
    <mergeCell ref="K60:N60"/>
    <mergeCell ref="O60:Q60"/>
    <mergeCell ref="R60:S60"/>
    <mergeCell ref="T60:U60"/>
    <mergeCell ref="V65:W65"/>
    <mergeCell ref="X65:Y65"/>
    <mergeCell ref="T79:U79"/>
    <mergeCell ref="V79:W79"/>
    <mergeCell ref="X79:Y79"/>
    <mergeCell ref="G82:J82"/>
    <mergeCell ref="K82:N82"/>
    <mergeCell ref="O82:Q82"/>
    <mergeCell ref="R82:S82"/>
    <mergeCell ref="T82:U82"/>
    <mergeCell ref="V82:W82"/>
    <mergeCell ref="X82:Y82"/>
    <mergeCell ref="C82:F82"/>
    <mergeCell ref="C83:F83"/>
    <mergeCell ref="G83:J83"/>
    <mergeCell ref="K83:N83"/>
    <mergeCell ref="O83:Q83"/>
    <mergeCell ref="R83:S83"/>
    <mergeCell ref="T83:U83"/>
    <mergeCell ref="O79:Q79"/>
    <mergeCell ref="R79:S79"/>
    <mergeCell ref="C76:F76"/>
    <mergeCell ref="C78:F78"/>
    <mergeCell ref="G78:J78"/>
    <mergeCell ref="K78:W78"/>
    <mergeCell ref="C79:F79"/>
    <mergeCell ref="G79:J79"/>
    <mergeCell ref="K79:N79"/>
    <mergeCell ref="G80:J80"/>
    <mergeCell ref="K80:N80"/>
    <mergeCell ref="O80:Q80"/>
    <mergeCell ref="R80:S80"/>
    <mergeCell ref="T80:U80"/>
    <mergeCell ref="V80:W80"/>
    <mergeCell ref="X80:Y80"/>
    <mergeCell ref="V81:W81"/>
    <mergeCell ref="X81:Y81"/>
    <mergeCell ref="C80:F80"/>
    <mergeCell ref="C81:F81"/>
    <mergeCell ref="G81:J81"/>
    <mergeCell ref="K81:N81"/>
    <mergeCell ref="O81:Q81"/>
    <mergeCell ref="R81:S81"/>
    <mergeCell ref="T81:U81"/>
    <mergeCell ref="V83:W83"/>
    <mergeCell ref="X83:Y83"/>
    <mergeCell ref="V86:W86"/>
    <mergeCell ref="X86:Y86"/>
    <mergeCell ref="R100:S100"/>
    <mergeCell ref="T100:U100"/>
    <mergeCell ref="C99:F99"/>
    <mergeCell ref="G99:J99"/>
    <mergeCell ref="K99:W99"/>
    <mergeCell ref="C100:F100"/>
    <mergeCell ref="G100:J100"/>
    <mergeCell ref="K100:N100"/>
    <mergeCell ref="O100:Q100"/>
    <mergeCell ref="G101:J101"/>
    <mergeCell ref="K101:N101"/>
    <mergeCell ref="O101:Q101"/>
    <mergeCell ref="R101:S101"/>
    <mergeCell ref="T101:U101"/>
    <mergeCell ref="V101:W101"/>
    <mergeCell ref="X101:Y101"/>
    <mergeCell ref="V102:W102"/>
    <mergeCell ref="X102:Y102"/>
    <mergeCell ref="C101:F101"/>
    <mergeCell ref="C102:F102"/>
    <mergeCell ref="G102:J102"/>
    <mergeCell ref="K102:N102"/>
    <mergeCell ref="O102:Q102"/>
    <mergeCell ref="R102:S102"/>
    <mergeCell ref="T102:U102"/>
    <mergeCell ref="G103:J103"/>
    <mergeCell ref="K103:N103"/>
    <mergeCell ref="O103:Q103"/>
    <mergeCell ref="R103:S103"/>
    <mergeCell ref="T103:U103"/>
    <mergeCell ref="V103:W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2026-04-13T18:35:54Z</dcterms:created>
</cp:coreProperties>
</file>